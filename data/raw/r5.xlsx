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3720A078-C952-47A6-8EAA-581F430520AA}" xr6:coauthVersionLast="47" xr6:coauthVersionMax="47" xr10:uidLastSave="{00000000-0000-0000-0000-000000000000}"/>
  <bookViews>
    <workbookView xWindow="-108" yWindow="-108" windowWidth="23256" windowHeight="14256" tabRatio="830" activeTab="3" xr2:uid="{00000000-000D-0000-FFFF-FFFF00000000}"/>
  </bookViews>
  <sheets>
    <sheet name="accommodation_type" sheetId="16" r:id="rId1"/>
    <sheet name="scale_class" sheetId="14" r:id="rId2"/>
    <sheet name="hotel_breakdown" sheetId="22" r:id="rId3"/>
    <sheet name="residential_act" sheetId="26" r:id="rId4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2">hotel_breakdown!$A$1:$AN$51</definedName>
    <definedName name="_xlnm.Print_Area" localSheetId="1">scale_class!$A$1:$M$50</definedName>
    <definedName name="ああああああああ">#REF!</definedName>
    <definedName name="印刷_1" localSheetId="2">#REF!</definedName>
    <definedName name="印刷_1">#REF!</definedName>
    <definedName name="印刷_2" localSheetId="2">#REF!</definedName>
    <definedName name="印刷_2">#REF!</definedName>
    <definedName name="印刷_3" localSheetId="2">#REF!</definedName>
    <definedName name="印刷_3">#REF!</definedName>
    <definedName name="印刷_4" localSheetId="2">#REF!</definedName>
    <definedName name="印刷_4">#REF!</definedName>
    <definedName name="印刷２">#REF!</definedName>
    <definedName name="市町村別規模別施設数" localSheetId="2">#REF!</definedName>
    <definedName name="市町村別規模別施設数">#REF!</definedName>
    <definedName name="市町村別種別施設数" localSheetId="2">#REF!</definedName>
    <definedName name="市町村別種別施設数">#REF!</definedName>
    <definedName name="集計原本">#REF!</definedName>
    <definedName name="集計用">#REF!</definedName>
    <definedName name="地域別規模別施設数" localSheetId="2">#REF!</definedName>
    <definedName name="地域別規模別施設数">#REF!</definedName>
    <definedName name="地域別種別施設数" localSheetId="2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26" l="1"/>
  <c r="B37" i="26"/>
  <c r="B33" i="26"/>
  <c r="B30" i="26"/>
  <c r="B20" i="26"/>
  <c r="B9" i="26"/>
  <c r="B49" i="26" l="1"/>
</calcChain>
</file>

<file path=xl/sharedStrings.xml><?xml version="1.0" encoding="utf-8"?>
<sst xmlns="http://schemas.openxmlformats.org/spreadsheetml/2006/main" count="297" uniqueCount="70">
  <si>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</si>
  <si>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</si>
  <si>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</si>
  <si>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</si>
  <si>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</si>
  <si>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</si>
  <si>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</si>
  <si>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</si>
  <si>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</si>
  <si>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</si>
  <si>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</si>
  <si>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</si>
  <si>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</si>
  <si>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</si>
  <si>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</si>
  <si>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</si>
  <si>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</si>
  <si>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</si>
  <si>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</si>
  <si>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</si>
  <si>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</si>
  <si>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</si>
  <si>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</si>
  <si>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</si>
  <si>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</si>
  <si>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</si>
  <si>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</si>
  <si>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</si>
  <si>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</si>
  <si>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</si>
  <si>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</si>
  <si>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</si>
  <si>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</si>
  <si>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</si>
  <si>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</si>
  <si>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</si>
  <si>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</si>
  <si>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</si>
  <si>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</si>
  <si>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</si>
  <si>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</si>
  <si>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</si>
  <si>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</si>
  <si>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</si>
  <si>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</si>
  <si>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</si>
  <si>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</si>
  <si>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</si>
  <si>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</si>
  <si>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</si>
  <si>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</si>
  <si>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</si>
  <si>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</si>
  <si>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</si>
  <si>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</si>
  <si>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</si>
  <si>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</si>
  <si>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</si>
  <si>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</si>
  <si>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</si>
  <si>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</si>
  <si>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</si>
  <si>
    <t>resort_hotel</t>
    <phoneticPr fontId="5"/>
  </si>
  <si>
    <t>city_hotel</t>
    <phoneticPr fontId="5"/>
  </si>
  <si>
    <t>ryokan</t>
    <phoneticPr fontId="5"/>
  </si>
  <si>
    <t>business_hotel</t>
    <phoneticPr fontId="5"/>
  </si>
  <si>
    <t>large</t>
    <phoneticPr fontId="5"/>
  </si>
  <si>
    <t>medium</t>
    <phoneticPr fontId="5"/>
  </si>
  <si>
    <t>small</t>
    <phoneticPr fontId="5"/>
  </si>
  <si>
    <t>notifications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</si>
</sst>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2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</fills>
  <borders count="16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177" fontId="4" fillId="0" borderId="0" applyBorder="0" applyProtection="0">
      <alignment vertical="center"/>
    </xf>
  </cellStyleXfs>
  <cellXfs count="270">
    <xf numFmtId="0" fontId="0" fillId="0" borderId="0" xfId="0"/>
    <xf numFmtId="0" fontId="4" fillId="0" borderId="0" xfId="0" applyFont="1"/>
    <xf numFmtId="38" fontId="25" fillId="26" borderId="32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2" xfId="51" applyFill="1" applyBorder="1">
      <alignment vertical="center"/>
    </xf>
    <xf numFmtId="0" fontId="4" fillId="0" borderId="47" xfId="51" applyBorder="1">
      <alignment vertical="center"/>
    </xf>
    <xf numFmtId="0" fontId="4" fillId="0" borderId="48" xfId="0" applyFont="1" applyBorder="1"/>
    <xf numFmtId="0" fontId="4" fillId="27" borderId="0" xfId="0" applyFont="1" applyFill="1"/>
    <xf numFmtId="38" fontId="25" fillId="28" borderId="50" xfId="34" applyFont="1" applyFill="1" applyBorder="1" applyAlignment="1">
      <alignment vertical="center"/>
    </xf>
    <xf numFmtId="38" fontId="25" fillId="28" borderId="52" xfId="34" applyFont="1" applyFill="1" applyBorder="1" applyAlignment="1">
      <alignment vertical="center"/>
    </xf>
    <xf numFmtId="38" fontId="25" fillId="28" borderId="53" xfId="34" applyFont="1" applyFill="1" applyBorder="1" applyAlignment="1">
      <alignment vertical="center"/>
    </xf>
    <xf numFmtId="38" fontId="25" fillId="28" borderId="16" xfId="34" applyFont="1" applyFill="1" applyBorder="1" applyAlignment="1">
      <alignment vertical="center"/>
    </xf>
    <xf numFmtId="0" fontId="4" fillId="0" borderId="47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9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68" xfId="34" applyFont="1" applyFill="1" applyBorder="1" applyAlignment="1">
      <alignment vertical="center" shrinkToFit="1"/>
    </xf>
    <xf numFmtId="38" fontId="4" fillId="0" borderId="16" xfId="34" applyFont="1" applyBorder="1" applyAlignment="1">
      <alignment vertical="center" shrinkToFit="1"/>
    </xf>
    <xf numFmtId="38" fontId="4" fillId="25" borderId="5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2" xfId="34" applyFont="1" applyFill="1" applyBorder="1" applyAlignment="1">
      <alignment vertical="center" shrinkToFit="1"/>
    </xf>
    <xf numFmtId="38" fontId="4" fillId="25" borderId="56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64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60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69" xfId="34" applyFont="1" applyFill="1" applyBorder="1" applyAlignment="1">
      <alignment vertical="center" shrinkToFit="1"/>
    </xf>
    <xf numFmtId="38" fontId="4" fillId="25" borderId="71" xfId="34" applyFont="1" applyFill="1" applyBorder="1" applyAlignment="1">
      <alignment vertical="center" shrinkToFit="1"/>
    </xf>
    <xf numFmtId="38" fontId="4" fillId="25" borderId="63" xfId="34" applyFont="1" applyFill="1" applyBorder="1" applyAlignment="1">
      <alignment vertical="center" shrinkToFit="1"/>
    </xf>
    <xf numFmtId="38" fontId="4" fillId="25" borderId="57" xfId="34" applyFont="1" applyFill="1" applyBorder="1" applyAlignment="1">
      <alignment vertical="center" shrinkToFit="1"/>
    </xf>
    <xf numFmtId="38" fontId="4" fillId="25" borderId="72" xfId="34" applyFont="1" applyFill="1" applyBorder="1" applyAlignment="1">
      <alignment vertical="center" shrinkToFit="1"/>
    </xf>
    <xf numFmtId="38" fontId="4" fillId="25" borderId="61" xfId="34" applyFont="1" applyFill="1" applyBorder="1" applyAlignment="1">
      <alignment vertical="center" shrinkToFit="1"/>
    </xf>
    <xf numFmtId="38" fontId="4" fillId="25" borderId="73" xfId="34" applyFont="1" applyFill="1" applyBorder="1" applyAlignment="1">
      <alignment vertical="center" shrinkToFit="1"/>
    </xf>
    <xf numFmtId="38" fontId="4" fillId="25" borderId="76" xfId="34" applyFont="1" applyFill="1" applyBorder="1" applyAlignment="1">
      <alignment vertical="center" shrinkToFit="1"/>
    </xf>
    <xf numFmtId="38" fontId="4" fillId="25" borderId="16" xfId="34" applyFont="1" applyFill="1" applyBorder="1" applyAlignment="1">
      <alignment vertical="center" shrinkToFit="1"/>
    </xf>
    <xf numFmtId="38" fontId="4" fillId="25" borderId="62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5" borderId="77" xfId="34" applyFont="1" applyFill="1" applyBorder="1" applyAlignment="1">
      <alignment vertical="center" shrinkToFit="1"/>
    </xf>
    <xf numFmtId="38" fontId="4" fillId="26" borderId="78" xfId="34" applyFont="1" applyFill="1" applyBorder="1" applyAlignment="1">
      <alignment vertical="center" shrinkToFit="1"/>
    </xf>
    <xf numFmtId="38" fontId="4" fillId="26" borderId="79" xfId="34" applyFont="1" applyFill="1" applyBorder="1" applyAlignment="1">
      <alignment vertical="center" shrinkToFit="1"/>
    </xf>
    <xf numFmtId="38" fontId="4" fillId="26" borderId="80" xfId="34" applyFont="1" applyFill="1" applyBorder="1" applyAlignment="1">
      <alignment vertical="center" shrinkToFit="1"/>
    </xf>
    <xf numFmtId="38" fontId="4" fillId="26" borderId="81" xfId="34" applyFont="1" applyFill="1" applyBorder="1" applyAlignment="1">
      <alignment vertical="center" shrinkToFit="1"/>
    </xf>
    <xf numFmtId="38" fontId="4" fillId="26" borderId="82" xfId="34" applyFont="1" applyFill="1" applyBorder="1" applyAlignment="1">
      <alignment vertical="center" shrinkToFit="1"/>
    </xf>
    <xf numFmtId="0" fontId="4" fillId="0" borderId="0" xfId="53">
      <alignment vertical="center"/>
    </xf>
    <xf numFmtId="0" fontId="5" fillId="0" borderId="0" xfId="53" applyFont="1">
      <alignment vertical="center"/>
    </xf>
    <xf numFmtId="176" fontId="4" fillId="0" borderId="0" xfId="53" applyNumberFormat="1">
      <alignment vertical="center"/>
    </xf>
    <xf numFmtId="176" fontId="22" fillId="0" borderId="42" xfId="53" applyNumberFormat="1" applyFont="1" applyBorder="1" applyAlignment="1">
      <alignment vertical="center" shrinkToFit="1"/>
    </xf>
    <xf numFmtId="176" fontId="22" fillId="0" borderId="18" xfId="53" applyNumberFormat="1" applyFont="1" applyBorder="1" applyAlignment="1">
      <alignment vertical="center" shrinkToFit="1"/>
    </xf>
    <xf numFmtId="176" fontId="22" fillId="0" borderId="43" xfId="53" applyNumberFormat="1" applyFont="1" applyBorder="1" applyAlignment="1">
      <alignment vertical="center" shrinkToFit="1"/>
    </xf>
    <xf numFmtId="176" fontId="22" fillId="29" borderId="94" xfId="53" applyNumberFormat="1" applyFont="1" applyFill="1" applyBorder="1" applyAlignment="1">
      <alignment horizontal="right" vertical="center" shrinkToFit="1"/>
    </xf>
    <xf numFmtId="176" fontId="22" fillId="0" borderId="38" xfId="53" applyNumberFormat="1" applyFont="1" applyBorder="1" applyAlignment="1">
      <alignment vertical="center" shrinkToFit="1"/>
    </xf>
    <xf numFmtId="176" fontId="22" fillId="0" borderId="37" xfId="53" applyNumberFormat="1" applyFont="1" applyBorder="1" applyAlignment="1">
      <alignment vertical="center" shrinkToFit="1"/>
    </xf>
    <xf numFmtId="176" fontId="22" fillId="0" borderId="39" xfId="53" applyNumberFormat="1" applyFont="1" applyBorder="1" applyAlignment="1">
      <alignment vertical="center" shrinkToFit="1"/>
    </xf>
    <xf numFmtId="176" fontId="22" fillId="0" borderId="89" xfId="53" applyNumberFormat="1" applyFont="1" applyBorder="1" applyAlignment="1">
      <alignment vertical="center" shrinkToFit="1"/>
    </xf>
    <xf numFmtId="176" fontId="22" fillId="0" borderId="90" xfId="53" applyNumberFormat="1" applyFont="1" applyBorder="1" applyAlignment="1">
      <alignment vertical="center" shrinkToFit="1"/>
    </xf>
    <xf numFmtId="176" fontId="22" fillId="0" borderId="88" xfId="53" applyNumberFormat="1" applyFont="1" applyBorder="1" applyAlignment="1">
      <alignment vertical="center" shrinkToFit="1"/>
    </xf>
    <xf numFmtId="176" fontId="22" fillId="29" borderId="34" xfId="53" applyNumberFormat="1" applyFont="1" applyFill="1" applyBorder="1" applyAlignment="1">
      <alignment horizontal="right" vertical="center" shrinkToFit="1"/>
    </xf>
    <xf numFmtId="176" fontId="22" fillId="29" borderId="35" xfId="53" applyNumberFormat="1" applyFont="1" applyFill="1" applyBorder="1" applyAlignment="1">
      <alignment horizontal="right" vertical="center" shrinkToFit="1"/>
    </xf>
    <xf numFmtId="176" fontId="22" fillId="29" borderId="36" xfId="53" applyNumberFormat="1" applyFont="1" applyFill="1" applyBorder="1" applyAlignment="1">
      <alignment horizontal="right" vertical="center" shrinkToFit="1"/>
    </xf>
    <xf numFmtId="176" fontId="22" fillId="29" borderId="45" xfId="53" applyNumberFormat="1" applyFont="1" applyFill="1" applyBorder="1" applyAlignment="1">
      <alignment vertical="center" shrinkToFit="1"/>
    </xf>
    <xf numFmtId="176" fontId="22" fillId="29" borderId="33" xfId="53" applyNumberFormat="1" applyFont="1" applyFill="1" applyBorder="1" applyAlignment="1">
      <alignment vertical="center" shrinkToFit="1"/>
    </xf>
    <xf numFmtId="176" fontId="22" fillId="29" borderId="36" xfId="53" applyNumberFormat="1" applyFont="1" applyFill="1" applyBorder="1" applyAlignment="1">
      <alignment vertical="center" shrinkToFit="1"/>
    </xf>
    <xf numFmtId="0" fontId="4" fillId="30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9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176" fontId="22" fillId="29" borderId="97" xfId="53" applyNumberFormat="1" applyFont="1" applyFill="1" applyBorder="1" applyAlignment="1">
      <alignment horizontal="right" vertical="center" shrinkToFit="1"/>
    </xf>
    <xf numFmtId="176" fontId="22" fillId="29" borderId="95" xfId="53" applyNumberFormat="1" applyFont="1" applyFill="1" applyBorder="1" applyAlignment="1">
      <alignment horizontal="right" vertical="center" shrinkToFit="1"/>
    </xf>
    <xf numFmtId="38" fontId="4" fillId="27" borderId="68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4" fillId="27" borderId="23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70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74" xfId="34" applyFont="1" applyFill="1" applyBorder="1" applyAlignment="1">
      <alignment vertical="center" shrinkToFit="1"/>
    </xf>
    <xf numFmtId="38" fontId="4" fillId="27" borderId="26" xfId="34" applyFont="1" applyFill="1" applyBorder="1" applyAlignment="1">
      <alignment vertical="center" shrinkToFit="1"/>
    </xf>
    <xf numFmtId="38" fontId="4" fillId="27" borderId="29" xfId="34" applyFont="1" applyFill="1" applyBorder="1" applyAlignment="1">
      <alignment vertical="center" shrinkToFit="1"/>
    </xf>
    <xf numFmtId="38" fontId="25" fillId="27" borderId="11" xfId="34" applyFont="1" applyFill="1" applyBorder="1" applyAlignment="1">
      <alignment vertical="center"/>
    </xf>
    <xf numFmtId="38" fontId="25" fillId="27" borderId="19" xfId="34" applyFont="1" applyFill="1" applyBorder="1" applyAlignment="1">
      <alignment vertical="center"/>
    </xf>
    <xf numFmtId="38" fontId="25" fillId="27" borderId="30" xfId="34" applyFont="1" applyFill="1" applyBorder="1" applyAlignment="1">
      <alignment vertical="center"/>
    </xf>
    <xf numFmtId="38" fontId="25" fillId="27" borderId="22" xfId="34" applyFont="1" applyFill="1" applyBorder="1" applyAlignment="1">
      <alignment vertical="center"/>
    </xf>
    <xf numFmtId="38" fontId="25" fillId="27" borderId="23" xfId="34" applyFont="1" applyFill="1" applyBorder="1" applyAlignment="1">
      <alignment vertical="center"/>
    </xf>
    <xf numFmtId="38" fontId="25" fillId="27" borderId="10" xfId="34" applyFont="1" applyFill="1" applyBorder="1" applyAlignment="1">
      <alignment vertical="center"/>
    </xf>
    <xf numFmtId="38" fontId="25" fillId="27" borderId="27" xfId="34" applyFont="1" applyFill="1" applyBorder="1" applyAlignment="1">
      <alignment vertical="center"/>
    </xf>
    <xf numFmtId="38" fontId="4" fillId="25" borderId="98" xfId="34" applyFont="1" applyFill="1" applyBorder="1" applyAlignment="1">
      <alignment vertical="center" shrinkToFit="1"/>
    </xf>
    <xf numFmtId="38" fontId="25" fillId="28" borderId="56" xfId="34" applyFont="1" applyFill="1" applyBorder="1" applyAlignment="1">
      <alignment vertical="center"/>
    </xf>
    <xf numFmtId="38" fontId="25" fillId="28" borderId="55" xfId="34" applyFont="1" applyFill="1" applyBorder="1" applyAlignment="1">
      <alignment vertical="center"/>
    </xf>
    <xf numFmtId="38" fontId="25" fillId="28" borderId="99" xfId="34" applyFont="1" applyFill="1" applyBorder="1" applyAlignment="1">
      <alignment vertical="center"/>
    </xf>
    <xf numFmtId="38" fontId="25" fillId="28" borderId="62" xfId="34" applyFont="1" applyFill="1" applyBorder="1" applyAlignment="1">
      <alignment vertical="center"/>
    </xf>
    <xf numFmtId="38" fontId="25" fillId="28" borderId="98" xfId="34" applyFont="1" applyFill="1" applyBorder="1" applyAlignment="1">
      <alignment vertical="center"/>
    </xf>
    <xf numFmtId="38" fontId="25" fillId="28" borderId="64" xfId="34" applyFont="1" applyFill="1" applyBorder="1" applyAlignment="1">
      <alignment vertical="center"/>
    </xf>
    <xf numFmtId="38" fontId="25" fillId="28" borderId="49" xfId="34" applyFont="1" applyFill="1" applyBorder="1" applyAlignment="1">
      <alignment vertical="center"/>
    </xf>
    <xf numFmtId="38" fontId="25" fillId="27" borderId="100" xfId="34" applyFont="1" applyFill="1" applyBorder="1" applyAlignment="1">
      <alignment vertical="center"/>
    </xf>
    <xf numFmtId="38" fontId="25" fillId="28" borderId="101" xfId="34" applyFont="1" applyFill="1" applyBorder="1" applyAlignment="1">
      <alignment vertical="center"/>
    </xf>
    <xf numFmtId="38" fontId="25" fillId="27" borderId="102" xfId="34" applyFont="1" applyFill="1" applyBorder="1" applyAlignment="1">
      <alignment vertical="center"/>
    </xf>
    <xf numFmtId="38" fontId="25" fillId="28" borderId="103" xfId="34" applyFont="1" applyFill="1" applyBorder="1" applyAlignment="1">
      <alignment vertical="center"/>
    </xf>
    <xf numFmtId="38" fontId="25" fillId="27" borderId="75" xfId="34" applyFont="1" applyFill="1" applyBorder="1" applyAlignment="1">
      <alignment vertical="center"/>
    </xf>
    <xf numFmtId="38" fontId="25" fillId="27" borderId="85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 shrinkToFit="1"/>
    </xf>
    <xf numFmtId="38" fontId="4" fillId="27" borderId="104" xfId="34" applyFont="1" applyFill="1" applyBorder="1" applyAlignment="1">
      <alignment vertical="center" shrinkToFit="1"/>
    </xf>
    <xf numFmtId="38" fontId="25" fillId="28" borderId="73" xfId="34" applyFont="1" applyFill="1" applyBorder="1" applyAlignment="1">
      <alignment vertical="center"/>
    </xf>
    <xf numFmtId="38" fontId="25" fillId="26" borderId="31" xfId="34" applyFont="1" applyFill="1" applyBorder="1" applyAlignment="1">
      <alignment vertical="center"/>
    </xf>
    <xf numFmtId="38" fontId="25" fillId="26" borderId="105" xfId="34" applyFont="1" applyFill="1" applyBorder="1" applyAlignment="1">
      <alignment vertical="center"/>
    </xf>
    <xf numFmtId="38" fontId="25" fillId="26" borderId="106" xfId="34" applyFont="1" applyFill="1" applyBorder="1" applyAlignment="1">
      <alignment vertical="center"/>
    </xf>
    <xf numFmtId="38" fontId="25" fillId="26" borderId="107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0" fontId="1" fillId="0" borderId="0" xfId="58">
      <alignment vertical="center"/>
    </xf>
    <xf numFmtId="0" fontId="4" fillId="0" borderId="0" xfId="58" applyFont="1" applyAlignment="1"/>
    <xf numFmtId="0" fontId="1" fillId="29" borderId="108" xfId="58" applyFill="1" applyBorder="1">
      <alignment vertical="center"/>
    </xf>
    <xf numFmtId="0" fontId="1" fillId="0" borderId="100" xfId="58" applyBorder="1">
      <alignment vertical="center"/>
    </xf>
    <xf numFmtId="176" fontId="0" fillId="0" borderId="43" xfId="53" applyNumberFormat="1" applyFont="1" applyBorder="1" applyAlignment="1">
      <alignment horizontal="right" vertical="center" shrinkToFit="1"/>
    </xf>
    <xf numFmtId="176" fontId="0" fillId="0" borderId="18" xfId="53" applyNumberFormat="1" applyFont="1" applyBorder="1" applyAlignment="1">
      <alignment horizontal="right" vertical="center" shrinkToFit="1"/>
    </xf>
    <xf numFmtId="176" fontId="0" fillId="0" borderId="42" xfId="53" applyNumberFormat="1" applyFont="1" applyBorder="1" applyAlignment="1">
      <alignment horizontal="right" vertical="center" shrinkToFit="1"/>
    </xf>
    <xf numFmtId="176" fontId="0" fillId="0" borderId="90" xfId="53" applyNumberFormat="1" applyFont="1" applyBorder="1" applyAlignment="1">
      <alignment horizontal="right" vertical="center" shrinkToFit="1"/>
    </xf>
    <xf numFmtId="176" fontId="0" fillId="0" borderId="89" xfId="53" applyNumberFormat="1" applyFont="1" applyBorder="1" applyAlignment="1">
      <alignment horizontal="right" vertical="center" shrinkToFit="1"/>
    </xf>
    <xf numFmtId="176" fontId="0" fillId="0" borderId="88" xfId="53" applyNumberFormat="1" applyFont="1" applyBorder="1" applyAlignment="1">
      <alignment horizontal="right" vertical="center" shrinkToFit="1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20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20" xfId="34" applyFont="1" applyFill="1" applyBorder="1" applyAlignment="1">
      <alignment vertical="center" shrinkToFit="1"/>
    </xf>
    <xf numFmtId="38" fontId="0" fillId="27" borderId="2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5" xfId="34" applyFont="1" applyFill="1" applyBorder="1" applyAlignment="1">
      <alignment vertical="center" shrinkToFit="1"/>
    </xf>
    <xf numFmtId="38" fontId="0" fillId="27" borderId="29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0" fillId="27" borderId="2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5" xfId="34" applyFont="1" applyFill="1" applyBorder="1" applyAlignment="1">
      <alignment vertical="center"/>
    </xf>
    <xf numFmtId="38" fontId="0" fillId="27" borderId="29" xfId="34" applyFont="1" applyFill="1" applyBorder="1" applyAlignment="1">
      <alignment vertical="center"/>
    </xf>
    <xf numFmtId="38" fontId="0" fillId="27" borderId="28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0" fontId="4" fillId="31" borderId="31" xfId="51" applyFill="1" applyBorder="1" applyAlignment="1">
      <alignment horizontal="right" vertical="center"/>
    </xf>
    <xf numFmtId="38" fontId="0" fillId="27" borderId="111" xfId="34" applyFont="1" applyFill="1" applyBorder="1" applyAlignment="1">
      <alignment vertical="center" shrinkToFit="1"/>
    </xf>
    <xf numFmtId="38" fontId="0" fillId="27" borderId="112" xfId="34" applyFont="1" applyFill="1" applyBorder="1" applyAlignment="1">
      <alignment vertical="center" shrinkToFit="1"/>
    </xf>
    <xf numFmtId="38" fontId="0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0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1" xfId="34" applyFont="1" applyFill="1" applyBorder="1" applyAlignment="1">
      <alignment vertical="center" shrinkToFit="1"/>
    </xf>
    <xf numFmtId="38" fontId="0" fillId="27" borderId="123" xfId="34" applyFont="1" applyFill="1" applyBorder="1" applyAlignment="1">
      <alignment vertical="center" shrinkToFit="1"/>
    </xf>
    <xf numFmtId="38" fontId="0" fillId="27" borderId="124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126" xfId="34" applyFont="1" applyFill="1" applyBorder="1" applyAlignment="1">
      <alignment vertical="center" shrinkToFit="1"/>
    </xf>
    <xf numFmtId="38" fontId="0" fillId="27" borderId="127" xfId="34" applyFont="1" applyFill="1" applyBorder="1" applyAlignment="1">
      <alignment vertical="center" shrinkToFit="1"/>
    </xf>
    <xf numFmtId="38" fontId="0" fillId="27" borderId="128" xfId="34" applyFont="1" applyFill="1" applyBorder="1" applyAlignment="1">
      <alignment vertical="center" shrinkToFit="1"/>
    </xf>
    <xf numFmtId="38" fontId="0" fillId="27" borderId="129" xfId="34" applyFont="1" applyFill="1" applyBorder="1" applyAlignment="1">
      <alignment vertical="center" shrinkToFit="1"/>
    </xf>
    <xf numFmtId="38" fontId="0" fillId="27" borderId="130" xfId="34" applyFont="1" applyFill="1" applyBorder="1" applyAlignment="1">
      <alignment vertical="center" shrinkToFit="1"/>
    </xf>
    <xf numFmtId="38" fontId="0" fillId="27" borderId="131" xfId="34" applyFont="1" applyFill="1" applyBorder="1" applyAlignment="1">
      <alignment vertical="center" shrinkToFit="1"/>
    </xf>
    <xf numFmtId="38" fontId="0" fillId="27" borderId="132" xfId="34" applyFont="1" applyFill="1" applyBorder="1" applyAlignment="1">
      <alignment vertical="center" shrinkToFit="1"/>
    </xf>
    <xf numFmtId="38" fontId="0" fillId="27" borderId="133" xfId="34" applyFont="1" applyFill="1" applyBorder="1" applyAlignment="1">
      <alignment vertical="center" shrinkToFit="1"/>
    </xf>
    <xf numFmtId="38" fontId="4" fillId="27" borderId="16" xfId="34" applyFont="1" applyFill="1" applyBorder="1" applyAlignment="1">
      <alignment vertical="center" shrinkToFit="1"/>
    </xf>
    <xf numFmtId="38" fontId="0" fillId="27" borderId="134" xfId="34" applyFont="1" applyFill="1" applyBorder="1" applyAlignment="1">
      <alignment vertical="center" shrinkToFit="1"/>
    </xf>
    <xf numFmtId="38" fontId="0" fillId="27" borderId="136" xfId="34" applyFont="1" applyFill="1" applyBorder="1" applyAlignment="1">
      <alignment vertical="center" shrinkToFit="1"/>
    </xf>
    <xf numFmtId="38" fontId="0" fillId="27" borderId="137" xfId="34" applyFont="1" applyFill="1" applyBorder="1" applyAlignment="1">
      <alignment vertical="center" shrinkToFit="1"/>
    </xf>
    <xf numFmtId="38" fontId="4" fillId="27" borderId="120" xfId="34" applyFont="1" applyFill="1" applyBorder="1" applyAlignment="1">
      <alignment vertical="center" shrinkToFit="1"/>
    </xf>
    <xf numFmtId="38" fontId="0" fillId="27" borderId="138" xfId="34" applyFont="1" applyFill="1" applyBorder="1" applyAlignment="1">
      <alignment vertical="center" shrinkToFit="1"/>
    </xf>
    <xf numFmtId="38" fontId="4" fillId="27" borderId="139" xfId="34" applyFont="1" applyFill="1" applyBorder="1" applyAlignment="1">
      <alignment vertical="center" shrinkToFit="1"/>
    </xf>
    <xf numFmtId="38" fontId="0" fillId="27" borderId="140" xfId="34" applyFont="1" applyFill="1" applyBorder="1" applyAlignment="1">
      <alignment vertical="center" shrinkToFit="1"/>
    </xf>
    <xf numFmtId="38" fontId="0" fillId="27" borderId="141" xfId="34" applyFont="1" applyFill="1" applyBorder="1" applyAlignment="1">
      <alignment vertical="center" shrinkToFit="1"/>
    </xf>
    <xf numFmtId="38" fontId="0" fillId="27" borderId="142" xfId="34" applyFont="1" applyFill="1" applyBorder="1" applyAlignment="1">
      <alignment vertical="center" shrinkToFit="1"/>
    </xf>
    <xf numFmtId="38" fontId="0" fillId="27" borderId="143" xfId="34" applyFont="1" applyFill="1" applyBorder="1" applyAlignment="1">
      <alignment vertical="center" shrinkToFit="1"/>
    </xf>
    <xf numFmtId="38" fontId="4" fillId="25" borderId="144" xfId="34" applyFont="1" applyFill="1" applyBorder="1" applyAlignment="1">
      <alignment vertical="center" shrinkToFit="1"/>
    </xf>
    <xf numFmtId="38" fontId="0" fillId="27" borderId="145" xfId="34" applyFont="1" applyFill="1" applyBorder="1" applyAlignment="1">
      <alignment vertical="center" shrinkToFit="1"/>
    </xf>
    <xf numFmtId="38" fontId="4" fillId="27" borderId="122" xfId="34" applyFont="1" applyFill="1" applyBorder="1" applyAlignment="1">
      <alignment vertical="center" shrinkToFit="1"/>
    </xf>
    <xf numFmtId="38" fontId="4" fillId="27" borderId="146" xfId="34" applyFont="1" applyFill="1" applyBorder="1" applyAlignment="1">
      <alignment vertical="center" shrinkToFit="1"/>
    </xf>
    <xf numFmtId="38" fontId="4" fillId="27" borderId="147" xfId="34" applyFont="1" applyFill="1" applyBorder="1" applyAlignment="1">
      <alignment vertical="center" shrinkToFit="1"/>
    </xf>
    <xf numFmtId="38" fontId="0" fillId="27" borderId="148" xfId="34" applyFont="1" applyFill="1" applyBorder="1" applyAlignment="1">
      <alignment vertical="center" shrinkToFit="1"/>
    </xf>
    <xf numFmtId="38" fontId="4" fillId="27" borderId="149" xfId="34" applyFont="1" applyFill="1" applyBorder="1" applyAlignment="1">
      <alignment vertical="center" shrinkToFit="1"/>
    </xf>
    <xf numFmtId="38" fontId="0" fillId="27" borderId="150" xfId="34" applyFont="1" applyFill="1" applyBorder="1" applyAlignment="1">
      <alignment vertical="center" shrinkToFit="1"/>
    </xf>
    <xf numFmtId="38" fontId="0" fillId="27" borderId="151" xfId="34" applyFont="1" applyFill="1" applyBorder="1" applyAlignment="1">
      <alignment vertical="center" shrinkToFit="1"/>
    </xf>
    <xf numFmtId="38" fontId="0" fillId="27" borderId="152" xfId="34" applyFont="1" applyFill="1" applyBorder="1" applyAlignment="1">
      <alignment vertical="center" shrinkToFit="1"/>
    </xf>
    <xf numFmtId="38" fontId="0" fillId="27" borderId="153" xfId="34" applyFont="1" applyFill="1" applyBorder="1" applyAlignment="1">
      <alignment vertical="center" shrinkToFit="1"/>
    </xf>
    <xf numFmtId="38" fontId="0" fillId="27" borderId="154" xfId="34" applyFont="1" applyFill="1" applyBorder="1" applyAlignment="1">
      <alignment vertical="center" shrinkToFit="1"/>
    </xf>
    <xf numFmtId="38" fontId="4" fillId="26" borderId="155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/>
    </xf>
    <xf numFmtId="38" fontId="0" fillId="27" borderId="145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2" xfId="34" applyFont="1" applyFill="1" applyBorder="1" applyAlignment="1">
      <alignment vertical="center"/>
    </xf>
    <xf numFmtId="38" fontId="0" fillId="27" borderId="15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18" xfId="34" applyFont="1" applyFill="1" applyBorder="1" applyAlignment="1">
      <alignment vertical="center"/>
    </xf>
    <xf numFmtId="38" fontId="0" fillId="27" borderId="136" xfId="34" applyFont="1" applyFill="1" applyBorder="1" applyAlignment="1">
      <alignment vertical="center"/>
    </xf>
    <xf numFmtId="38" fontId="25" fillId="27" borderId="13" xfId="34" applyFont="1" applyFill="1" applyBorder="1" applyAlignment="1">
      <alignment vertical="center"/>
    </xf>
    <xf numFmtId="38" fontId="0" fillId="27" borderId="134" xfId="34" applyFont="1" applyFill="1" applyBorder="1" applyAlignment="1">
      <alignment vertical="center"/>
    </xf>
    <xf numFmtId="38" fontId="0" fillId="27" borderId="130" xfId="34" applyFont="1" applyFill="1" applyBorder="1" applyAlignment="1">
      <alignment vertical="center"/>
    </xf>
    <xf numFmtId="38" fontId="0" fillId="27" borderId="127" xfId="34" applyFont="1" applyFill="1" applyBorder="1" applyAlignment="1">
      <alignment vertical="center"/>
    </xf>
    <xf numFmtId="38" fontId="0" fillId="27" borderId="121" xfId="34" applyFont="1" applyFill="1" applyBorder="1" applyAlignment="1">
      <alignment vertical="center"/>
    </xf>
    <xf numFmtId="38" fontId="0" fillId="27" borderId="126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37" xfId="34" applyFont="1" applyFill="1" applyBorder="1" applyAlignment="1">
      <alignment vertical="center"/>
    </xf>
    <xf numFmtId="38" fontId="0" fillId="27" borderId="133" xfId="34" applyFont="1" applyFill="1" applyBorder="1" applyAlignment="1">
      <alignment vertical="center"/>
    </xf>
    <xf numFmtId="38" fontId="0" fillId="27" borderId="37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129" xfId="34" applyFont="1" applyFill="1" applyBorder="1" applyAlignment="1">
      <alignment vertical="center"/>
    </xf>
    <xf numFmtId="38" fontId="0" fillId="27" borderId="157" xfId="34" applyFont="1" applyFill="1" applyBorder="1" applyAlignment="1">
      <alignment vertical="center"/>
    </xf>
    <xf numFmtId="38" fontId="0" fillId="27" borderId="131" xfId="34" applyFont="1" applyFill="1" applyBorder="1" applyAlignment="1">
      <alignment vertical="center"/>
    </xf>
    <xf numFmtId="38" fontId="0" fillId="27" borderId="150" xfId="34" applyFont="1" applyFill="1" applyBorder="1" applyAlignment="1">
      <alignment vertical="center"/>
    </xf>
    <xf numFmtId="38" fontId="0" fillId="27" borderId="151" xfId="34" applyFont="1" applyFill="1" applyBorder="1" applyAlignment="1">
      <alignment vertical="center"/>
    </xf>
    <xf numFmtId="38" fontId="0" fillId="27" borderId="143" xfId="34" applyFont="1" applyFill="1" applyBorder="1" applyAlignment="1">
      <alignment vertical="center"/>
    </xf>
    <xf numFmtId="38" fontId="0" fillId="27" borderId="113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114" xfId="34" applyFont="1" applyFill="1" applyBorder="1" applyAlignment="1">
      <alignment vertical="center"/>
    </xf>
    <xf numFmtId="38" fontId="0" fillId="27" borderId="115" xfId="34" applyFont="1" applyFill="1" applyBorder="1" applyAlignment="1">
      <alignment vertical="center"/>
    </xf>
    <xf numFmtId="38" fontId="0" fillId="27" borderId="141" xfId="34" applyFont="1" applyFill="1" applyBorder="1" applyAlignment="1">
      <alignment vertical="center"/>
    </xf>
    <xf numFmtId="0" fontId="4" fillId="0" borderId="47" xfId="53" applyBorder="1">
      <alignment vertical="center"/>
    </xf>
    <xf numFmtId="176" fontId="0" fillId="0" borderId="158" xfId="53" applyNumberFormat="1" applyFont="1" applyBorder="1" applyAlignment="1">
      <alignment horizontal="right" vertical="center" shrinkToFit="1"/>
    </xf>
    <xf numFmtId="176" fontId="0" fillId="0" borderId="159" xfId="53" applyNumberFormat="1" applyFont="1" applyBorder="1" applyAlignment="1">
      <alignment horizontal="right" vertical="center" shrinkToFit="1"/>
    </xf>
    <xf numFmtId="176" fontId="0" fillId="0" borderId="109" xfId="53" applyNumberFormat="1" applyFont="1" applyBorder="1" applyAlignment="1">
      <alignment horizontal="right" vertical="center" shrinkToFit="1"/>
    </xf>
    <xf numFmtId="176" fontId="0" fillId="0" borderId="110" xfId="53" applyNumberFormat="1" applyFont="1" applyBorder="1" applyAlignment="1">
      <alignment horizontal="right" vertical="center" shrinkToFit="1"/>
    </xf>
    <xf numFmtId="176" fontId="0" fillId="0" borderId="160" xfId="53" applyNumberFormat="1" applyFont="1" applyBorder="1" applyAlignment="1">
      <alignment horizontal="right" vertical="center" shrinkToFit="1"/>
    </xf>
    <xf numFmtId="176" fontId="0" fillId="0" borderId="161" xfId="53" applyNumberFormat="1" applyFont="1" applyBorder="1" applyAlignment="1">
      <alignment horizontal="right" vertical="center" shrinkToFit="1"/>
    </xf>
    <xf numFmtId="176" fontId="0" fillId="0" borderId="135" xfId="53" applyNumberFormat="1" applyFont="1" applyBorder="1" applyAlignment="1">
      <alignment horizontal="right" vertical="center" shrinkToFit="1"/>
    </xf>
    <xf numFmtId="176" fontId="0" fillId="0" borderId="162" xfId="53" applyNumberFormat="1" applyFont="1" applyBorder="1" applyAlignment="1">
      <alignment horizontal="right" vertical="center" shrinkToFit="1"/>
    </xf>
    <xf numFmtId="176" fontId="0" fillId="0" borderId="38" xfId="53" applyNumberFormat="1" applyFont="1" applyBorder="1" applyAlignment="1">
      <alignment horizontal="right" vertical="center" shrinkToFit="1"/>
    </xf>
    <xf numFmtId="176" fontId="0" fillId="0" borderId="37" xfId="53" applyNumberFormat="1" applyFont="1" applyBorder="1" applyAlignment="1">
      <alignment horizontal="right" vertical="center" shrinkToFit="1"/>
    </xf>
    <xf numFmtId="176" fontId="0" fillId="0" borderId="39" xfId="53" applyNumberFormat="1" applyFont="1" applyBorder="1" applyAlignment="1">
      <alignment horizontal="right" vertical="center" shrinkToFit="1"/>
    </xf>
    <xf numFmtId="176" fontId="0" fillId="0" borderId="125" xfId="53" applyNumberFormat="1" applyFont="1" applyBorder="1" applyAlignment="1">
      <alignment horizontal="right" vertical="center" shrinkToFit="1"/>
    </xf>
    <xf numFmtId="38" fontId="4" fillId="26" borderId="163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4" fillId="29" borderId="15" xfId="51" applyFill="1" applyBorder="1" applyAlignment="1">
      <alignment horizontal="center" vertical="center"/>
    </xf>
    <xf numFmtId="0" fontId="0" fillId="24" borderId="11" xfId="51" applyFont="1" applyFill="1" applyBorder="1" applyAlignment="1">
      <alignment horizontal="center" vertical="center"/>
    </xf>
    <xf numFmtId="0" fontId="0" fillId="25" borderId="55" xfId="51" applyFont="1" applyFill="1" applyBorder="1" applyAlignment="1">
      <alignment horizontal="center" vertical="center"/>
    </xf>
    <xf numFmtId="0" fontId="0" fillId="26" borderId="80" xfId="51" applyFont="1" applyFill="1" applyBorder="1" applyAlignment="1">
      <alignment horizontal="center" vertical="center"/>
    </xf>
    <xf numFmtId="0" fontId="4" fillId="29" borderId="17" xfId="53" applyFill="1" applyBorder="1">
      <alignment vertical="center"/>
    </xf>
    <xf numFmtId="0" fontId="24" fillId="0" borderId="110" xfId="0" applyFont="1" applyBorder="1" applyAlignment="1">
      <alignment vertical="center"/>
    </xf>
    <xf numFmtId="0" fontId="0" fillId="25" borderId="75" xfId="51" applyFont="1" applyFill="1" applyBorder="1" applyAlignment="1">
      <alignment horizontal="center" vertical="center"/>
    </xf>
    <xf numFmtId="0" fontId="4" fillId="25" borderId="27" xfId="51" applyFill="1" applyBorder="1" applyAlignment="1">
      <alignment horizontal="center" vertical="center"/>
    </xf>
    <xf numFmtId="0" fontId="4" fillId="25" borderId="85" xfId="51" applyFill="1" applyBorder="1" applyAlignment="1">
      <alignment horizontal="center" vertical="center"/>
    </xf>
    <xf numFmtId="0" fontId="0" fillId="25" borderId="27" xfId="51" applyFont="1" applyFill="1" applyBorder="1" applyAlignment="1">
      <alignment horizontal="center" vertical="center"/>
    </xf>
    <xf numFmtId="0" fontId="4" fillId="25" borderId="74" xfId="51" applyFill="1" applyBorder="1" applyAlignment="1">
      <alignment horizontal="center" vertical="center"/>
    </xf>
    <xf numFmtId="0" fontId="4" fillId="25" borderId="86" xfId="51" applyFill="1" applyBorder="1" applyAlignment="1">
      <alignment horizontal="center" vertical="center"/>
    </xf>
    <xf numFmtId="0" fontId="0" fillId="25" borderId="87" xfId="51" applyFont="1" applyFill="1" applyBorder="1" applyAlignment="1">
      <alignment horizontal="center" vertical="center"/>
    </xf>
    <xf numFmtId="0" fontId="4" fillId="25" borderId="83" xfId="51" applyFill="1" applyBorder="1" applyAlignment="1">
      <alignment horizontal="center" vertical="center"/>
    </xf>
    <xf numFmtId="0" fontId="4" fillId="25" borderId="15" xfId="51" applyFill="1" applyBorder="1" applyAlignment="1">
      <alignment horizontal="center" vertical="center"/>
    </xf>
    <xf numFmtId="0" fontId="25" fillId="28" borderId="75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85" xfId="0" applyFont="1" applyFill="1" applyBorder="1" applyAlignment="1">
      <alignment horizontal="center" vertical="center"/>
    </xf>
    <xf numFmtId="0" fontId="25" fillId="28" borderId="87" xfId="0" applyFont="1" applyFill="1" applyBorder="1" applyAlignment="1">
      <alignment horizontal="center" vertical="center"/>
    </xf>
    <xf numFmtId="0" fontId="25" fillId="28" borderId="74" xfId="0" applyFont="1" applyFill="1" applyBorder="1" applyAlignment="1">
      <alignment horizontal="center" vertical="center"/>
    </xf>
    <xf numFmtId="0" fontId="25" fillId="28" borderId="86" xfId="0" applyFont="1" applyFill="1" applyBorder="1" applyAlignment="1">
      <alignment horizontal="center" vertical="center"/>
    </xf>
    <xf numFmtId="0" fontId="22" fillId="29" borderId="14" xfId="53" applyFont="1" applyFill="1" applyBorder="1" applyAlignment="1">
      <alignment horizontal="center" vertical="center"/>
    </xf>
    <xf numFmtId="0" fontId="22" fillId="29" borderId="44" xfId="53" applyFont="1" applyFill="1" applyBorder="1" applyAlignment="1">
      <alignment horizontal="center" vertical="center"/>
    </xf>
    <xf numFmtId="0" fontId="22" fillId="29" borderId="17" xfId="53" applyFont="1" applyFill="1" applyBorder="1" applyAlignment="1">
      <alignment horizontal="center" vertical="center"/>
    </xf>
    <xf numFmtId="0" fontId="22" fillId="29" borderId="84" xfId="53" applyFont="1" applyFill="1" applyBorder="1" applyAlignment="1">
      <alignment horizontal="center" vertical="center"/>
    </xf>
    <xf numFmtId="0" fontId="22" fillId="29" borderId="46" xfId="53" applyFont="1" applyFill="1" applyBorder="1" applyAlignment="1">
      <alignment horizontal="center" vertical="center"/>
    </xf>
    <xf numFmtId="0" fontId="22" fillId="29" borderId="93" xfId="53" applyFont="1" applyFill="1" applyBorder="1" applyAlignment="1">
      <alignment horizontal="center" vertical="center"/>
    </xf>
    <xf numFmtId="0" fontId="22" fillId="29" borderId="91" xfId="53" applyFont="1" applyFill="1" applyBorder="1" applyAlignment="1">
      <alignment horizontal="center" vertical="center"/>
    </xf>
    <xf numFmtId="0" fontId="22" fillId="29" borderId="92" xfId="53" applyFont="1" applyFill="1" applyBorder="1" applyAlignment="1">
      <alignment horizontal="center" vertical="center"/>
    </xf>
    <xf numFmtId="0" fontId="22" fillId="29" borderId="96" xfId="53" applyFont="1" applyFill="1" applyBorder="1" applyAlignment="1">
      <alignment horizontal="center" vertical="center"/>
    </xf>
    <xf numFmtId="0" fontId="22" fillId="29" borderId="66" xfId="53" applyFont="1" applyFill="1" applyBorder="1" applyAlignment="1">
      <alignment horizontal="center" vertical="center"/>
    </xf>
    <xf numFmtId="0" fontId="22" fillId="29" borderId="65" xfId="53" applyFont="1" applyFill="1" applyBorder="1" applyAlignment="1">
      <alignment horizontal="center" vertical="center"/>
    </xf>
    <xf numFmtId="0" fontId="22" fillId="29" borderId="40" xfId="53" applyFont="1" applyFill="1" applyBorder="1" applyAlignment="1">
      <alignment horizontal="center" vertical="center"/>
    </xf>
    <xf numFmtId="0" fontId="22" fillId="29" borderId="41" xfId="53" applyFont="1" applyFill="1" applyBorder="1" applyAlignment="1">
      <alignment horizontal="center" vertical="center"/>
    </xf>
    <xf numFmtId="0" fontId="22" fillId="29" borderId="67" xfId="53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view="pageBreakPreview" zoomScale="85" zoomScaleNormal="70" zoomScaleSheetLayoutView="85" workbookViewId="0">
      <pane xSplit="1" ySplit="3" topLeftCell="B18" activePane="bottomRight" state="frozen"/>
      <selection pane="topRight" activeCell="D1" sqref="D1"/>
      <selection pane="bottomLeft" activeCell="A7" sqref="A7"/>
      <selection pane="bottomRight" activeCell="AB50" sqref="AB50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248"/>
      <c r="B1" s="244" t="s">
        <v>41</v>
      </c>
      <c r="C1" s="242"/>
      <c r="D1" s="245"/>
      <c r="E1" s="241" t="s">
        <v>42</v>
      </c>
      <c r="F1" s="242"/>
      <c r="G1" s="246"/>
      <c r="H1" s="247" t="s">
        <v>43</v>
      </c>
      <c r="I1" s="242"/>
      <c r="J1" s="245"/>
      <c r="K1" s="241" t="s">
        <v>44</v>
      </c>
      <c r="L1" s="242"/>
      <c r="M1" s="246"/>
      <c r="N1" s="241" t="s">
        <v>45</v>
      </c>
      <c r="O1" s="242"/>
      <c r="P1" s="246"/>
      <c r="Q1" s="247" t="s">
        <v>46</v>
      </c>
      <c r="R1" s="242"/>
      <c r="S1" s="245"/>
      <c r="T1" s="241" t="s">
        <v>47</v>
      </c>
      <c r="U1" s="242"/>
      <c r="V1" s="246"/>
      <c r="W1" s="241" t="s">
        <v>48</v>
      </c>
      <c r="X1" s="242"/>
      <c r="Y1" s="243"/>
    </row>
    <row r="2" spans="1:26" s="3" customFormat="1" ht="20.25" customHeight="1">
      <c r="A2" s="249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236" t="s">
        <v>49</v>
      </c>
      <c r="O2" s="236" t="s">
        <v>50</v>
      </c>
      <c r="P2" s="234" t="s">
        <v>61</v>
      </c>
      <c r="Q2" s="236" t="s">
        <v>49</v>
      </c>
      <c r="R2" s="236" t="s">
        <v>50</v>
      </c>
      <c r="S2" s="234" t="s">
        <v>61</v>
      </c>
      <c r="T2" s="236" t="s">
        <v>49</v>
      </c>
      <c r="U2" s="236" t="s">
        <v>50</v>
      </c>
      <c r="V2" s="234" t="s">
        <v>61</v>
      </c>
      <c r="W2" s="236" t="s">
        <v>49</v>
      </c>
      <c r="X2" s="236" t="s">
        <v>50</v>
      </c>
      <c r="Y2" s="234" t="s">
        <v>61</v>
      </c>
    </row>
    <row r="3" spans="1:26" s="67" customFormat="1" ht="20.25" customHeight="1">
      <c r="A3" s="68" t="s">
        <v>39</v>
      </c>
      <c r="B3" s="127">
        <v>278</v>
      </c>
      <c r="C3" s="70">
        <v>20448</v>
      </c>
      <c r="D3" s="132">
        <v>47514</v>
      </c>
      <c r="E3" s="105">
        <v>23</v>
      </c>
      <c r="F3" s="70">
        <v>123</v>
      </c>
      <c r="G3" s="129">
        <v>276</v>
      </c>
      <c r="H3" s="133">
        <v>111</v>
      </c>
      <c r="I3" s="70">
        <v>307</v>
      </c>
      <c r="J3" s="132">
        <v>1451</v>
      </c>
      <c r="K3" s="105">
        <v>50</v>
      </c>
      <c r="L3" s="70">
        <v>1128</v>
      </c>
      <c r="M3" s="129">
        <v>2584</v>
      </c>
      <c r="N3" s="105">
        <v>8</v>
      </c>
      <c r="O3" s="70">
        <v>198</v>
      </c>
      <c r="P3" s="129">
        <v>447</v>
      </c>
      <c r="Q3" s="137">
        <v>2</v>
      </c>
      <c r="R3" s="70">
        <v>13</v>
      </c>
      <c r="S3" s="132">
        <v>131</v>
      </c>
      <c r="T3" s="105">
        <v>2</v>
      </c>
      <c r="U3" s="70">
        <v>41</v>
      </c>
      <c r="V3" s="129">
        <v>235</v>
      </c>
      <c r="W3" s="69">
        <v>474</v>
      </c>
      <c r="X3" s="71">
        <v>22258</v>
      </c>
      <c r="Y3" s="74">
        <v>52638</v>
      </c>
    </row>
    <row r="4" spans="1:26" s="67" customFormat="1" ht="20.25" customHeight="1">
      <c r="A4" s="5" t="s">
        <v>0</v>
      </c>
      <c r="B4" s="127">
        <v>7</v>
      </c>
      <c r="C4" s="70">
        <v>1046</v>
      </c>
      <c r="D4" s="132">
        <v>2838</v>
      </c>
      <c r="E4" s="105">
        <v>5</v>
      </c>
      <c r="F4" s="70">
        <v>16</v>
      </c>
      <c r="G4" s="129">
        <v>43</v>
      </c>
      <c r="H4" s="133">
        <v>6</v>
      </c>
      <c r="I4" s="70">
        <v>10</v>
      </c>
      <c r="J4" s="132">
        <v>54</v>
      </c>
      <c r="K4" s="105">
        <v>1</v>
      </c>
      <c r="L4" s="70">
        <v>4</v>
      </c>
      <c r="M4" s="129">
        <v>13</v>
      </c>
      <c r="N4" s="105">
        <v>1</v>
      </c>
      <c r="O4" s="70">
        <v>7</v>
      </c>
      <c r="P4" s="129">
        <v>24</v>
      </c>
      <c r="Q4" s="137">
        <v>1</v>
      </c>
      <c r="R4" s="70">
        <v>33</v>
      </c>
      <c r="S4" s="132">
        <v>306</v>
      </c>
      <c r="T4" s="105">
        <v>0</v>
      </c>
      <c r="U4" s="70">
        <v>0</v>
      </c>
      <c r="V4" s="129">
        <v>0</v>
      </c>
      <c r="W4" s="69">
        <v>21</v>
      </c>
      <c r="X4" s="71">
        <v>1116</v>
      </c>
      <c r="Y4" s="74">
        <v>3278</v>
      </c>
    </row>
    <row r="5" spans="1:26" s="3" customFormat="1" ht="20.25" customHeight="1">
      <c r="A5" s="5" t="s">
        <v>1</v>
      </c>
      <c r="B5" s="127">
        <v>4</v>
      </c>
      <c r="C5" s="70">
        <v>322</v>
      </c>
      <c r="D5" s="132">
        <v>744</v>
      </c>
      <c r="E5" s="105">
        <v>2</v>
      </c>
      <c r="F5" s="70">
        <v>5</v>
      </c>
      <c r="G5" s="129">
        <v>13</v>
      </c>
      <c r="H5" s="133">
        <v>5</v>
      </c>
      <c r="I5" s="70">
        <v>16</v>
      </c>
      <c r="J5" s="132">
        <v>44</v>
      </c>
      <c r="K5" s="105">
        <v>0</v>
      </c>
      <c r="L5" s="70">
        <v>0</v>
      </c>
      <c r="M5" s="129">
        <v>0</v>
      </c>
      <c r="N5" s="105">
        <v>0</v>
      </c>
      <c r="O5" s="70">
        <v>0</v>
      </c>
      <c r="P5" s="129">
        <v>0</v>
      </c>
      <c r="Q5" s="137">
        <v>0</v>
      </c>
      <c r="R5" s="70">
        <v>0</v>
      </c>
      <c r="S5" s="132">
        <v>0</v>
      </c>
      <c r="T5" s="105">
        <v>0</v>
      </c>
      <c r="U5" s="70">
        <v>0</v>
      </c>
      <c r="V5" s="129">
        <v>0</v>
      </c>
      <c r="W5" s="69">
        <v>11</v>
      </c>
      <c r="X5" s="71">
        <v>343</v>
      </c>
      <c r="Y5" s="74">
        <v>801</v>
      </c>
    </row>
    <row r="6" spans="1:26" s="3" customFormat="1" ht="20.25" customHeight="1">
      <c r="A6" s="5" t="s">
        <v>2</v>
      </c>
      <c r="B6" s="127">
        <v>2</v>
      </c>
      <c r="C6" s="70">
        <v>61</v>
      </c>
      <c r="D6" s="132">
        <v>140</v>
      </c>
      <c r="E6" s="105">
        <v>2</v>
      </c>
      <c r="F6" s="70">
        <v>13</v>
      </c>
      <c r="G6" s="129">
        <v>44</v>
      </c>
      <c r="H6" s="133">
        <v>13</v>
      </c>
      <c r="I6" s="70">
        <v>38</v>
      </c>
      <c r="J6" s="132">
        <v>116</v>
      </c>
      <c r="K6" s="105">
        <v>0</v>
      </c>
      <c r="L6" s="70">
        <v>0</v>
      </c>
      <c r="M6" s="129">
        <v>0</v>
      </c>
      <c r="N6" s="105">
        <v>1</v>
      </c>
      <c r="O6" s="70">
        <v>6</v>
      </c>
      <c r="P6" s="129">
        <v>12</v>
      </c>
      <c r="Q6" s="137">
        <v>1</v>
      </c>
      <c r="R6" s="70">
        <v>5</v>
      </c>
      <c r="S6" s="132">
        <v>20</v>
      </c>
      <c r="T6" s="105">
        <v>0</v>
      </c>
      <c r="U6" s="70">
        <v>0</v>
      </c>
      <c r="V6" s="129">
        <v>0</v>
      </c>
      <c r="W6" s="69">
        <v>19</v>
      </c>
      <c r="X6" s="71">
        <v>123</v>
      </c>
      <c r="Y6" s="74">
        <v>332</v>
      </c>
    </row>
    <row r="7" spans="1:26" s="3" customFormat="1" ht="20.25" customHeight="1">
      <c r="A7" s="5" t="s">
        <v>3</v>
      </c>
      <c r="B7" s="127">
        <v>7</v>
      </c>
      <c r="C7" s="70">
        <v>183</v>
      </c>
      <c r="D7" s="132">
        <v>755</v>
      </c>
      <c r="E7" s="105">
        <v>7</v>
      </c>
      <c r="F7" s="70">
        <v>33</v>
      </c>
      <c r="G7" s="129">
        <v>109</v>
      </c>
      <c r="H7" s="133">
        <v>89</v>
      </c>
      <c r="I7" s="70">
        <v>164</v>
      </c>
      <c r="J7" s="132">
        <v>890</v>
      </c>
      <c r="K7" s="105">
        <v>1</v>
      </c>
      <c r="L7" s="70">
        <v>2</v>
      </c>
      <c r="M7" s="129">
        <v>15</v>
      </c>
      <c r="N7" s="105">
        <v>0</v>
      </c>
      <c r="O7" s="70">
        <v>0</v>
      </c>
      <c r="P7" s="129">
        <v>0</v>
      </c>
      <c r="Q7" s="137">
        <v>3</v>
      </c>
      <c r="R7" s="70">
        <v>38</v>
      </c>
      <c r="S7" s="132">
        <v>265</v>
      </c>
      <c r="T7" s="105">
        <v>0</v>
      </c>
      <c r="U7" s="70">
        <v>0</v>
      </c>
      <c r="V7" s="129">
        <v>0</v>
      </c>
      <c r="W7" s="69">
        <v>107</v>
      </c>
      <c r="X7" s="71">
        <v>420</v>
      </c>
      <c r="Y7" s="74">
        <v>2034</v>
      </c>
    </row>
    <row r="8" spans="1:26" s="3" customFormat="1" ht="20.25" customHeight="1">
      <c r="A8" s="5" t="s">
        <v>4</v>
      </c>
      <c r="B8" s="127">
        <v>1</v>
      </c>
      <c r="C8" s="70">
        <v>13</v>
      </c>
      <c r="D8" s="132">
        <v>27</v>
      </c>
      <c r="E8" s="105">
        <v>0</v>
      </c>
      <c r="F8" s="70">
        <v>0</v>
      </c>
      <c r="G8" s="129">
        <v>0</v>
      </c>
      <c r="H8" s="133">
        <v>2</v>
      </c>
      <c r="I8" s="70">
        <v>5</v>
      </c>
      <c r="J8" s="132">
        <v>18</v>
      </c>
      <c r="K8" s="105">
        <v>3</v>
      </c>
      <c r="L8" s="70">
        <v>10</v>
      </c>
      <c r="M8" s="129">
        <v>23</v>
      </c>
      <c r="N8" s="105">
        <v>0</v>
      </c>
      <c r="O8" s="70">
        <v>0</v>
      </c>
      <c r="P8" s="129">
        <v>0</v>
      </c>
      <c r="Q8" s="137">
        <v>0</v>
      </c>
      <c r="R8" s="70">
        <v>0</v>
      </c>
      <c r="S8" s="132">
        <v>0</v>
      </c>
      <c r="T8" s="105">
        <v>0</v>
      </c>
      <c r="U8" s="70">
        <v>0</v>
      </c>
      <c r="V8" s="129">
        <v>0</v>
      </c>
      <c r="W8" s="69">
        <v>6</v>
      </c>
      <c r="X8" s="71">
        <v>28</v>
      </c>
      <c r="Y8" s="74">
        <v>68</v>
      </c>
    </row>
    <row r="9" spans="1:26" s="3" customFormat="1" ht="20.25" customHeight="1">
      <c r="A9" s="5" t="s">
        <v>5</v>
      </c>
      <c r="B9" s="127">
        <v>1</v>
      </c>
      <c r="C9" s="15">
        <v>36</v>
      </c>
      <c r="D9" s="132">
        <v>80</v>
      </c>
      <c r="E9" s="105">
        <v>0</v>
      </c>
      <c r="F9" s="16">
        <v>0</v>
      </c>
      <c r="G9" s="129">
        <v>0</v>
      </c>
      <c r="H9" s="133">
        <v>0</v>
      </c>
      <c r="I9" s="16">
        <v>0</v>
      </c>
      <c r="J9" s="132">
        <v>0</v>
      </c>
      <c r="K9" s="105">
        <v>0</v>
      </c>
      <c r="L9" s="70">
        <v>0</v>
      </c>
      <c r="M9" s="129">
        <v>0</v>
      </c>
      <c r="N9" s="105">
        <v>0</v>
      </c>
      <c r="O9" s="20">
        <v>0</v>
      </c>
      <c r="P9" s="129">
        <v>0</v>
      </c>
      <c r="Q9" s="137">
        <v>0</v>
      </c>
      <c r="R9" s="16">
        <v>0</v>
      </c>
      <c r="S9" s="132">
        <v>0</v>
      </c>
      <c r="T9" s="105">
        <v>0</v>
      </c>
      <c r="U9" s="16">
        <v>0</v>
      </c>
      <c r="V9" s="129">
        <v>0</v>
      </c>
      <c r="W9" s="17">
        <v>1</v>
      </c>
      <c r="X9" s="18">
        <v>36</v>
      </c>
      <c r="Y9" s="19">
        <v>80</v>
      </c>
      <c r="Z9" s="7"/>
    </row>
    <row r="10" spans="1:26" s="3" customFormat="1" ht="20.25" customHeight="1">
      <c r="A10" s="237" t="s">
        <v>51</v>
      </c>
      <c r="B10" s="21">
        <v>300</v>
      </c>
      <c r="C10" s="21">
        <v>22109</v>
      </c>
      <c r="D10" s="21">
        <v>52098</v>
      </c>
      <c r="E10" s="22">
        <v>39</v>
      </c>
      <c r="F10" s="25">
        <v>190</v>
      </c>
      <c r="G10" s="26">
        <v>485</v>
      </c>
      <c r="H10" s="27">
        <v>226</v>
      </c>
      <c r="I10" s="25">
        <v>540</v>
      </c>
      <c r="J10" s="26">
        <v>2573</v>
      </c>
      <c r="K10" s="22">
        <v>55</v>
      </c>
      <c r="L10" s="23">
        <v>1144</v>
      </c>
      <c r="M10" s="26">
        <v>2635</v>
      </c>
      <c r="N10" s="22">
        <v>10</v>
      </c>
      <c r="O10" s="28">
        <v>211</v>
      </c>
      <c r="P10" s="25">
        <v>483</v>
      </c>
      <c r="Q10" s="29">
        <v>7</v>
      </c>
      <c r="R10" s="30">
        <v>89</v>
      </c>
      <c r="S10" s="30">
        <v>722</v>
      </c>
      <c r="T10" s="31">
        <v>2</v>
      </c>
      <c r="U10" s="24">
        <v>41</v>
      </c>
      <c r="V10" s="25">
        <v>235</v>
      </c>
      <c r="W10" s="29">
        <v>639</v>
      </c>
      <c r="X10" s="24">
        <v>24324</v>
      </c>
      <c r="Y10" s="34">
        <v>59231</v>
      </c>
      <c r="Z10" s="7"/>
    </row>
    <row r="11" spans="1:26" s="3" customFormat="1" ht="20.25" customHeight="1">
      <c r="A11" s="6" t="s">
        <v>6</v>
      </c>
      <c r="B11" s="136">
        <v>30</v>
      </c>
      <c r="C11" s="76">
        <v>1229</v>
      </c>
      <c r="D11" s="144">
        <v>3791</v>
      </c>
      <c r="E11" s="145">
        <v>11</v>
      </c>
      <c r="F11" s="75">
        <v>49</v>
      </c>
      <c r="G11" s="147">
        <v>105</v>
      </c>
      <c r="H11" s="148">
        <v>32</v>
      </c>
      <c r="I11" s="76">
        <v>54</v>
      </c>
      <c r="J11" s="144">
        <v>275</v>
      </c>
      <c r="K11" s="149">
        <v>20</v>
      </c>
      <c r="L11" s="75">
        <v>58</v>
      </c>
      <c r="M11" s="147">
        <v>158</v>
      </c>
      <c r="N11" s="149">
        <v>4</v>
      </c>
      <c r="O11" s="75">
        <v>22</v>
      </c>
      <c r="P11" s="147">
        <v>58</v>
      </c>
      <c r="Q11" s="145">
        <v>0</v>
      </c>
      <c r="R11" s="75">
        <v>0</v>
      </c>
      <c r="S11" s="144">
        <v>0</v>
      </c>
      <c r="T11" s="145">
        <v>0</v>
      </c>
      <c r="U11" s="75">
        <v>0</v>
      </c>
      <c r="V11" s="147">
        <v>0</v>
      </c>
      <c r="W11" s="77">
        <v>97</v>
      </c>
      <c r="X11" s="78">
        <v>1412</v>
      </c>
      <c r="Y11" s="79">
        <v>4387</v>
      </c>
    </row>
    <row r="12" spans="1:26" s="3" customFormat="1" ht="20.25" customHeight="1">
      <c r="A12" s="5" t="s">
        <v>7</v>
      </c>
      <c r="B12" s="150">
        <v>16</v>
      </c>
      <c r="C12" s="70">
        <v>1104</v>
      </c>
      <c r="D12" s="151">
        <v>3285</v>
      </c>
      <c r="E12" s="152">
        <v>0</v>
      </c>
      <c r="F12" s="70">
        <v>0</v>
      </c>
      <c r="G12" s="151">
        <v>0</v>
      </c>
      <c r="H12" s="153">
        <v>15</v>
      </c>
      <c r="I12" s="70">
        <v>20</v>
      </c>
      <c r="J12" s="151">
        <v>161</v>
      </c>
      <c r="K12" s="153">
        <v>5</v>
      </c>
      <c r="L12" s="70">
        <v>7</v>
      </c>
      <c r="M12" s="151">
        <v>39</v>
      </c>
      <c r="N12" s="154">
        <v>11</v>
      </c>
      <c r="O12" s="70">
        <v>51</v>
      </c>
      <c r="P12" s="151">
        <v>140</v>
      </c>
      <c r="Q12" s="156">
        <v>0</v>
      </c>
      <c r="R12" s="71">
        <v>0</v>
      </c>
      <c r="S12" s="151">
        <v>0</v>
      </c>
      <c r="T12" s="154">
        <v>0</v>
      </c>
      <c r="U12" s="70">
        <v>0</v>
      </c>
      <c r="V12" s="157">
        <v>0</v>
      </c>
      <c r="W12" s="69">
        <v>47</v>
      </c>
      <c r="X12" s="71">
        <v>1182</v>
      </c>
      <c r="Y12" s="74">
        <v>3625</v>
      </c>
    </row>
    <row r="13" spans="1:26" s="3" customFormat="1" ht="20.25" customHeight="1">
      <c r="A13" s="5" t="s">
        <v>8</v>
      </c>
      <c r="B13" s="150">
        <v>12</v>
      </c>
      <c r="C13" s="70">
        <v>234</v>
      </c>
      <c r="D13" s="158">
        <v>807</v>
      </c>
      <c r="E13" s="154">
        <v>0</v>
      </c>
      <c r="F13" s="70">
        <v>0</v>
      </c>
      <c r="G13" s="151">
        <v>0</v>
      </c>
      <c r="H13" s="154">
        <v>4</v>
      </c>
      <c r="I13" s="70">
        <v>4</v>
      </c>
      <c r="J13" s="151">
        <v>38</v>
      </c>
      <c r="K13" s="153">
        <v>0</v>
      </c>
      <c r="L13" s="70">
        <v>0</v>
      </c>
      <c r="M13" s="151">
        <v>0</v>
      </c>
      <c r="N13" s="160">
        <v>1</v>
      </c>
      <c r="O13" s="71">
        <v>12</v>
      </c>
      <c r="P13" s="151">
        <v>24</v>
      </c>
      <c r="Q13" s="161">
        <v>0</v>
      </c>
      <c r="R13" s="71">
        <v>0</v>
      </c>
      <c r="S13" s="151">
        <v>0</v>
      </c>
      <c r="T13" s="152">
        <v>0</v>
      </c>
      <c r="U13" s="70">
        <v>0</v>
      </c>
      <c r="V13" s="157">
        <v>0</v>
      </c>
      <c r="W13" s="69">
        <v>17</v>
      </c>
      <c r="X13" s="71">
        <v>250</v>
      </c>
      <c r="Y13" s="74">
        <v>869</v>
      </c>
    </row>
    <row r="14" spans="1:26" s="3" customFormat="1" ht="20.25" customHeight="1">
      <c r="A14" s="5" t="s">
        <v>9</v>
      </c>
      <c r="B14" s="150">
        <v>19</v>
      </c>
      <c r="C14" s="70">
        <v>676</v>
      </c>
      <c r="D14" s="151">
        <v>1962</v>
      </c>
      <c r="E14" s="154">
        <v>7</v>
      </c>
      <c r="F14" s="70">
        <v>65</v>
      </c>
      <c r="G14" s="151">
        <v>162</v>
      </c>
      <c r="H14" s="154">
        <v>102</v>
      </c>
      <c r="I14" s="70">
        <v>190</v>
      </c>
      <c r="J14" s="162">
        <v>905</v>
      </c>
      <c r="K14" s="163">
        <v>6</v>
      </c>
      <c r="L14" s="71">
        <v>29</v>
      </c>
      <c r="M14" s="151">
        <v>70</v>
      </c>
      <c r="N14" s="164">
        <v>0</v>
      </c>
      <c r="O14" s="165">
        <v>0</v>
      </c>
      <c r="P14" s="166">
        <v>0</v>
      </c>
      <c r="Q14" s="161">
        <v>2</v>
      </c>
      <c r="R14" s="71">
        <v>27</v>
      </c>
      <c r="S14" s="158">
        <v>232</v>
      </c>
      <c r="T14" s="167">
        <v>0</v>
      </c>
      <c r="U14" s="71">
        <v>0</v>
      </c>
      <c r="V14" s="151">
        <v>0</v>
      </c>
      <c r="W14" s="69">
        <v>136</v>
      </c>
      <c r="X14" s="71">
        <v>987</v>
      </c>
      <c r="Y14" s="74">
        <v>3331</v>
      </c>
    </row>
    <row r="15" spans="1:26" s="3" customFormat="1" ht="20.25" customHeight="1">
      <c r="A15" s="5" t="s">
        <v>10</v>
      </c>
      <c r="B15" s="150">
        <v>14</v>
      </c>
      <c r="C15" s="70">
        <v>1269</v>
      </c>
      <c r="D15" s="158">
        <v>3905</v>
      </c>
      <c r="E15" s="168">
        <v>3</v>
      </c>
      <c r="F15" s="71">
        <v>10</v>
      </c>
      <c r="G15" s="166">
        <v>27</v>
      </c>
      <c r="H15" s="159">
        <v>90</v>
      </c>
      <c r="I15" s="70">
        <v>167</v>
      </c>
      <c r="J15" s="151">
        <v>947</v>
      </c>
      <c r="K15" s="153">
        <v>28</v>
      </c>
      <c r="L15" s="70">
        <v>88</v>
      </c>
      <c r="M15" s="151">
        <v>271</v>
      </c>
      <c r="N15" s="167">
        <v>0</v>
      </c>
      <c r="O15" s="169">
        <v>0</v>
      </c>
      <c r="P15" s="170">
        <v>0</v>
      </c>
      <c r="Q15" s="154">
        <v>0</v>
      </c>
      <c r="R15" s="71">
        <v>0</v>
      </c>
      <c r="S15" s="151">
        <v>0</v>
      </c>
      <c r="T15" s="154">
        <v>0</v>
      </c>
      <c r="U15" s="70">
        <v>0</v>
      </c>
      <c r="V15" s="166">
        <v>0</v>
      </c>
      <c r="W15" s="69">
        <v>135</v>
      </c>
      <c r="X15" s="71">
        <v>1534</v>
      </c>
      <c r="Y15" s="74">
        <v>5150</v>
      </c>
    </row>
    <row r="16" spans="1:26" s="3" customFormat="1" ht="20.25" customHeight="1">
      <c r="A16" s="5" t="s">
        <v>11</v>
      </c>
      <c r="B16" s="162">
        <v>3</v>
      </c>
      <c r="C16" s="71">
        <v>44</v>
      </c>
      <c r="D16" s="151">
        <v>114</v>
      </c>
      <c r="E16" s="152">
        <v>0</v>
      </c>
      <c r="F16" s="171">
        <v>0</v>
      </c>
      <c r="G16" s="151">
        <v>0</v>
      </c>
      <c r="H16" s="153">
        <v>2</v>
      </c>
      <c r="I16" s="70">
        <v>2</v>
      </c>
      <c r="J16" s="151">
        <v>5</v>
      </c>
      <c r="K16" s="168">
        <v>4</v>
      </c>
      <c r="L16" s="71">
        <v>8</v>
      </c>
      <c r="M16" s="151">
        <v>30</v>
      </c>
      <c r="N16" s="153">
        <v>0</v>
      </c>
      <c r="O16" s="80">
        <v>0</v>
      </c>
      <c r="P16" s="151">
        <v>0</v>
      </c>
      <c r="Q16" s="172">
        <v>0</v>
      </c>
      <c r="R16" s="71">
        <v>0</v>
      </c>
      <c r="S16" s="173">
        <v>0</v>
      </c>
      <c r="T16" s="160">
        <v>0</v>
      </c>
      <c r="U16" s="71">
        <v>0</v>
      </c>
      <c r="V16" s="157">
        <v>0</v>
      </c>
      <c r="W16" s="69">
        <v>9</v>
      </c>
      <c r="X16" s="71">
        <v>54</v>
      </c>
      <c r="Y16" s="74">
        <v>149</v>
      </c>
    </row>
    <row r="17" spans="1:26" s="3" customFormat="1" ht="20.25" customHeight="1">
      <c r="A17" s="5" t="s">
        <v>12</v>
      </c>
      <c r="B17" s="150">
        <v>61</v>
      </c>
      <c r="C17" s="70">
        <v>2571</v>
      </c>
      <c r="D17" s="158">
        <v>8370</v>
      </c>
      <c r="E17" s="154">
        <v>1</v>
      </c>
      <c r="F17" s="80">
        <v>1</v>
      </c>
      <c r="G17" s="173">
        <v>3</v>
      </c>
      <c r="H17" s="154">
        <v>55</v>
      </c>
      <c r="I17" s="70">
        <v>65</v>
      </c>
      <c r="J17" s="151">
        <v>460</v>
      </c>
      <c r="K17" s="154">
        <v>10</v>
      </c>
      <c r="L17" s="70">
        <v>47</v>
      </c>
      <c r="M17" s="151">
        <v>114</v>
      </c>
      <c r="N17" s="167">
        <v>4</v>
      </c>
      <c r="O17" s="71">
        <v>8</v>
      </c>
      <c r="P17" s="151">
        <v>43</v>
      </c>
      <c r="Q17" s="174">
        <v>0</v>
      </c>
      <c r="R17" s="70">
        <v>0</v>
      </c>
      <c r="S17" s="158">
        <v>0</v>
      </c>
      <c r="T17" s="153">
        <v>0</v>
      </c>
      <c r="U17" s="70">
        <v>0</v>
      </c>
      <c r="V17" s="157">
        <v>0</v>
      </c>
      <c r="W17" s="69">
        <v>131</v>
      </c>
      <c r="X17" s="71">
        <v>2692</v>
      </c>
      <c r="Y17" s="74">
        <v>8990</v>
      </c>
    </row>
    <row r="18" spans="1:26" s="3" customFormat="1" ht="20.25" customHeight="1">
      <c r="A18" s="5" t="s">
        <v>13</v>
      </c>
      <c r="B18" s="155">
        <v>6</v>
      </c>
      <c r="C18" s="70">
        <v>386</v>
      </c>
      <c r="D18" s="151">
        <v>1139</v>
      </c>
      <c r="E18" s="168">
        <v>0</v>
      </c>
      <c r="F18" s="71">
        <v>0</v>
      </c>
      <c r="G18" s="166">
        <v>0</v>
      </c>
      <c r="H18" s="159">
        <v>1</v>
      </c>
      <c r="I18" s="70">
        <v>2</v>
      </c>
      <c r="J18" s="151">
        <v>6</v>
      </c>
      <c r="K18" s="154">
        <v>0</v>
      </c>
      <c r="L18" s="70">
        <v>0</v>
      </c>
      <c r="M18" s="151">
        <v>0</v>
      </c>
      <c r="N18" s="164">
        <v>2</v>
      </c>
      <c r="O18" s="70">
        <v>8</v>
      </c>
      <c r="P18" s="173">
        <v>20</v>
      </c>
      <c r="Q18" s="156">
        <v>1</v>
      </c>
      <c r="R18" s="71">
        <v>1</v>
      </c>
      <c r="S18" s="151">
        <v>8</v>
      </c>
      <c r="T18" s="167">
        <v>0</v>
      </c>
      <c r="U18" s="71">
        <v>0</v>
      </c>
      <c r="V18" s="157">
        <v>0</v>
      </c>
      <c r="W18" s="69">
        <v>10</v>
      </c>
      <c r="X18" s="71">
        <v>397</v>
      </c>
      <c r="Y18" s="74">
        <v>1173</v>
      </c>
    </row>
    <row r="19" spans="1:26" s="3" customFormat="1" ht="20.25" customHeight="1">
      <c r="A19" s="5" t="s">
        <v>14</v>
      </c>
      <c r="B19" s="150">
        <v>2</v>
      </c>
      <c r="C19" s="70">
        <v>26</v>
      </c>
      <c r="D19" s="158">
        <v>60</v>
      </c>
      <c r="E19" s="168">
        <v>0</v>
      </c>
      <c r="F19" s="71">
        <v>0</v>
      </c>
      <c r="G19" s="151">
        <v>0</v>
      </c>
      <c r="H19" s="168">
        <v>0</v>
      </c>
      <c r="I19" s="71">
        <v>0</v>
      </c>
      <c r="J19" s="151">
        <v>0</v>
      </c>
      <c r="K19" s="174">
        <v>1</v>
      </c>
      <c r="L19" s="70">
        <v>2</v>
      </c>
      <c r="M19" s="151">
        <v>5</v>
      </c>
      <c r="N19" s="168">
        <v>0</v>
      </c>
      <c r="O19" s="71">
        <v>0</v>
      </c>
      <c r="P19" s="173">
        <v>0</v>
      </c>
      <c r="Q19" s="161">
        <v>0</v>
      </c>
      <c r="R19" s="71">
        <v>0</v>
      </c>
      <c r="S19" s="151">
        <v>0</v>
      </c>
      <c r="T19" s="168">
        <v>0</v>
      </c>
      <c r="U19" s="71">
        <v>0</v>
      </c>
      <c r="V19" s="151">
        <v>0</v>
      </c>
      <c r="W19" s="69">
        <v>3</v>
      </c>
      <c r="X19" s="71">
        <v>28</v>
      </c>
      <c r="Y19" s="74">
        <v>65</v>
      </c>
    </row>
    <row r="20" spans="1:26" s="3" customFormat="1" ht="20.25" customHeight="1">
      <c r="A20" s="5" t="s">
        <v>15</v>
      </c>
      <c r="B20" s="128">
        <v>0</v>
      </c>
      <c r="C20" s="70">
        <v>0</v>
      </c>
      <c r="D20" s="175">
        <v>0</v>
      </c>
      <c r="E20" s="131">
        <v>0</v>
      </c>
      <c r="F20" s="70">
        <v>0</v>
      </c>
      <c r="G20" s="130">
        <v>0</v>
      </c>
      <c r="H20" s="135">
        <v>0</v>
      </c>
      <c r="I20" s="70">
        <v>0</v>
      </c>
      <c r="J20" s="134">
        <v>0</v>
      </c>
      <c r="K20" s="131">
        <v>0</v>
      </c>
      <c r="L20" s="70">
        <v>0</v>
      </c>
      <c r="M20" s="130">
        <v>0</v>
      </c>
      <c r="N20" s="131">
        <v>0</v>
      </c>
      <c r="O20" s="70">
        <v>0</v>
      </c>
      <c r="P20" s="130">
        <v>0</v>
      </c>
      <c r="Q20" s="135">
        <v>0</v>
      </c>
      <c r="R20" s="70">
        <v>0</v>
      </c>
      <c r="S20" s="134">
        <v>0</v>
      </c>
      <c r="T20" s="131">
        <v>0</v>
      </c>
      <c r="U20" s="70">
        <v>0</v>
      </c>
      <c r="V20" s="130">
        <v>0</v>
      </c>
      <c r="W20" s="69">
        <v>0</v>
      </c>
      <c r="X20" s="71">
        <v>0</v>
      </c>
      <c r="Y20" s="74">
        <v>0</v>
      </c>
    </row>
    <row r="21" spans="1:26" s="3" customFormat="1" ht="20.25" customHeight="1">
      <c r="A21" s="237" t="s">
        <v>52</v>
      </c>
      <c r="B21" s="21">
        <v>163</v>
      </c>
      <c r="C21" s="21">
        <v>7539</v>
      </c>
      <c r="D21" s="21">
        <v>23433</v>
      </c>
      <c r="E21" s="31">
        <v>22</v>
      </c>
      <c r="F21" s="23">
        <v>125</v>
      </c>
      <c r="G21" s="32">
        <v>297</v>
      </c>
      <c r="H21" s="33">
        <v>301</v>
      </c>
      <c r="I21" s="25">
        <v>504</v>
      </c>
      <c r="J21" s="34">
        <v>2797</v>
      </c>
      <c r="K21" s="31">
        <v>74</v>
      </c>
      <c r="L21" s="23">
        <v>239</v>
      </c>
      <c r="M21" s="30">
        <v>687</v>
      </c>
      <c r="N21" s="31">
        <v>22</v>
      </c>
      <c r="O21" s="24">
        <v>101</v>
      </c>
      <c r="P21" s="34">
        <v>285</v>
      </c>
      <c r="Q21" s="31">
        <v>3</v>
      </c>
      <c r="R21" s="24">
        <v>28</v>
      </c>
      <c r="S21" s="34">
        <v>240</v>
      </c>
      <c r="T21" s="31">
        <v>0</v>
      </c>
      <c r="U21" s="25">
        <v>0</v>
      </c>
      <c r="V21" s="34">
        <v>0</v>
      </c>
      <c r="W21" s="35">
        <v>585</v>
      </c>
      <c r="X21" s="36">
        <v>8536</v>
      </c>
      <c r="Y21" s="176">
        <v>27739</v>
      </c>
      <c r="Z21" s="7"/>
    </row>
    <row r="22" spans="1:26" s="3" customFormat="1" ht="20.25" customHeight="1">
      <c r="A22" s="6" t="s">
        <v>16</v>
      </c>
      <c r="B22" s="146">
        <v>45</v>
      </c>
      <c r="C22" s="80">
        <v>3191</v>
      </c>
      <c r="D22" s="177">
        <v>9612</v>
      </c>
      <c r="E22" s="149">
        <v>4</v>
      </c>
      <c r="F22" s="80">
        <v>29</v>
      </c>
      <c r="G22" s="147">
        <v>86</v>
      </c>
      <c r="H22" s="148">
        <v>122</v>
      </c>
      <c r="I22" s="80">
        <v>224</v>
      </c>
      <c r="J22" s="144">
        <v>1267</v>
      </c>
      <c r="K22" s="149">
        <v>7</v>
      </c>
      <c r="L22" s="80">
        <v>17</v>
      </c>
      <c r="M22" s="147">
        <v>81</v>
      </c>
      <c r="N22" s="149">
        <v>1</v>
      </c>
      <c r="O22" s="80">
        <v>12</v>
      </c>
      <c r="P22" s="147">
        <v>24</v>
      </c>
      <c r="Q22" s="148">
        <v>1</v>
      </c>
      <c r="R22" s="80">
        <v>38</v>
      </c>
      <c r="S22" s="144">
        <v>240</v>
      </c>
      <c r="T22" s="149">
        <v>0</v>
      </c>
      <c r="U22" s="80">
        <v>0</v>
      </c>
      <c r="V22" s="147">
        <v>0</v>
      </c>
      <c r="W22" s="69">
        <v>180</v>
      </c>
      <c r="X22" s="80">
        <v>3511</v>
      </c>
      <c r="Y22" s="74">
        <v>11310</v>
      </c>
    </row>
    <row r="23" spans="1:26" s="3" customFormat="1" ht="20.25" customHeight="1">
      <c r="A23" s="5" t="s">
        <v>17</v>
      </c>
      <c r="B23" s="155">
        <v>8</v>
      </c>
      <c r="C23" s="80">
        <v>284</v>
      </c>
      <c r="D23" s="151">
        <v>825</v>
      </c>
      <c r="E23" s="154">
        <v>9</v>
      </c>
      <c r="F23" s="178">
        <v>42</v>
      </c>
      <c r="G23" s="151">
        <v>122</v>
      </c>
      <c r="H23" s="164">
        <v>13</v>
      </c>
      <c r="I23" s="80">
        <v>26</v>
      </c>
      <c r="J23" s="157">
        <v>105</v>
      </c>
      <c r="K23" s="154">
        <v>4</v>
      </c>
      <c r="L23" s="80">
        <v>29</v>
      </c>
      <c r="M23" s="151">
        <v>179</v>
      </c>
      <c r="N23" s="167">
        <v>0</v>
      </c>
      <c r="O23" s="83">
        <v>0</v>
      </c>
      <c r="P23" s="157">
        <v>0</v>
      </c>
      <c r="Q23" s="161">
        <v>2</v>
      </c>
      <c r="R23" s="83">
        <v>10</v>
      </c>
      <c r="S23" s="151">
        <v>61</v>
      </c>
      <c r="T23" s="168">
        <v>0</v>
      </c>
      <c r="U23" s="83">
        <v>0</v>
      </c>
      <c r="V23" s="151">
        <v>0</v>
      </c>
      <c r="W23" s="69">
        <v>36</v>
      </c>
      <c r="X23" s="80">
        <v>391</v>
      </c>
      <c r="Y23" s="74">
        <v>1292</v>
      </c>
    </row>
    <row r="24" spans="1:26" s="3" customFormat="1" ht="20.25" customHeight="1">
      <c r="A24" s="5" t="s">
        <v>18</v>
      </c>
      <c r="B24" s="150">
        <v>0</v>
      </c>
      <c r="C24" s="80">
        <v>0</v>
      </c>
      <c r="D24" s="158">
        <v>0</v>
      </c>
      <c r="E24" s="154">
        <v>4</v>
      </c>
      <c r="F24" s="80">
        <v>11</v>
      </c>
      <c r="G24" s="157">
        <v>59</v>
      </c>
      <c r="H24" s="153">
        <v>17</v>
      </c>
      <c r="I24" s="80">
        <v>22</v>
      </c>
      <c r="J24" s="151">
        <v>123</v>
      </c>
      <c r="K24" s="153">
        <v>1</v>
      </c>
      <c r="L24" s="80">
        <v>1</v>
      </c>
      <c r="M24" s="151">
        <v>15</v>
      </c>
      <c r="N24" s="153">
        <v>0</v>
      </c>
      <c r="O24" s="80">
        <v>0</v>
      </c>
      <c r="P24" s="157">
        <v>0</v>
      </c>
      <c r="Q24" s="154">
        <v>0</v>
      </c>
      <c r="R24" s="80">
        <v>0</v>
      </c>
      <c r="S24" s="151">
        <v>0</v>
      </c>
      <c r="T24" s="154">
        <v>0</v>
      </c>
      <c r="U24" s="80">
        <v>0</v>
      </c>
      <c r="V24" s="151">
        <v>0</v>
      </c>
      <c r="W24" s="69">
        <v>22</v>
      </c>
      <c r="X24" s="80">
        <v>34</v>
      </c>
      <c r="Y24" s="74">
        <v>197</v>
      </c>
    </row>
    <row r="25" spans="1:26" s="3" customFormat="1" ht="20.25" customHeight="1">
      <c r="A25" s="5" t="s">
        <v>19</v>
      </c>
      <c r="B25" s="155">
        <v>1</v>
      </c>
      <c r="C25" s="178">
        <v>12</v>
      </c>
      <c r="D25" s="151">
        <v>48</v>
      </c>
      <c r="E25" s="152">
        <v>10</v>
      </c>
      <c r="F25" s="178">
        <v>18</v>
      </c>
      <c r="G25" s="157">
        <v>79</v>
      </c>
      <c r="H25" s="153">
        <v>12</v>
      </c>
      <c r="I25" s="80">
        <v>29</v>
      </c>
      <c r="J25" s="158">
        <v>127</v>
      </c>
      <c r="K25" s="154">
        <v>0</v>
      </c>
      <c r="L25" s="178">
        <v>0</v>
      </c>
      <c r="M25" s="166">
        <v>0</v>
      </c>
      <c r="N25" s="168">
        <v>0</v>
      </c>
      <c r="O25" s="83">
        <v>0</v>
      </c>
      <c r="P25" s="151">
        <v>0</v>
      </c>
      <c r="Q25" s="174">
        <v>1</v>
      </c>
      <c r="R25" s="80">
        <v>15</v>
      </c>
      <c r="S25" s="173">
        <v>99</v>
      </c>
      <c r="T25" s="154">
        <v>0</v>
      </c>
      <c r="U25" s="80">
        <v>0</v>
      </c>
      <c r="V25" s="173">
        <v>0</v>
      </c>
      <c r="W25" s="69">
        <v>24</v>
      </c>
      <c r="X25" s="80">
        <v>74</v>
      </c>
      <c r="Y25" s="74">
        <v>353</v>
      </c>
    </row>
    <row r="26" spans="1:26" s="3" customFormat="1" ht="20.25" customHeight="1">
      <c r="A26" s="5" t="s">
        <v>20</v>
      </c>
      <c r="B26" s="150">
        <v>14</v>
      </c>
      <c r="C26" s="80">
        <v>341</v>
      </c>
      <c r="D26" s="158">
        <v>1443</v>
      </c>
      <c r="E26" s="154">
        <v>8</v>
      </c>
      <c r="F26" s="80">
        <v>26</v>
      </c>
      <c r="G26" s="157">
        <v>81</v>
      </c>
      <c r="H26" s="154">
        <v>204</v>
      </c>
      <c r="I26" s="80">
        <v>406</v>
      </c>
      <c r="J26" s="151">
        <v>1982</v>
      </c>
      <c r="K26" s="154">
        <v>4</v>
      </c>
      <c r="L26" s="80">
        <v>14</v>
      </c>
      <c r="M26" s="151">
        <v>51</v>
      </c>
      <c r="N26" s="154">
        <v>0</v>
      </c>
      <c r="O26" s="80">
        <v>0</v>
      </c>
      <c r="P26" s="166">
        <v>0</v>
      </c>
      <c r="Q26" s="161">
        <v>0</v>
      </c>
      <c r="R26" s="179">
        <v>0</v>
      </c>
      <c r="S26" s="156">
        <v>0</v>
      </c>
      <c r="T26" s="152">
        <v>0</v>
      </c>
      <c r="U26" s="80">
        <v>0</v>
      </c>
      <c r="V26" s="173">
        <v>0</v>
      </c>
      <c r="W26" s="69">
        <v>230</v>
      </c>
      <c r="X26" s="80">
        <v>787</v>
      </c>
      <c r="Y26" s="74">
        <v>3557</v>
      </c>
    </row>
    <row r="27" spans="1:26" s="3" customFormat="1" ht="20.25" customHeight="1">
      <c r="A27" s="112" t="s">
        <v>40</v>
      </c>
      <c r="B27" s="150">
        <v>30</v>
      </c>
      <c r="C27" s="80">
        <v>1971</v>
      </c>
      <c r="D27" s="157">
        <v>7169</v>
      </c>
      <c r="E27" s="174">
        <v>17</v>
      </c>
      <c r="F27" s="80">
        <v>95</v>
      </c>
      <c r="G27" s="151">
        <v>317</v>
      </c>
      <c r="H27" s="159">
        <v>297</v>
      </c>
      <c r="I27" s="80">
        <v>556</v>
      </c>
      <c r="J27" s="158">
        <v>3204</v>
      </c>
      <c r="K27" s="152">
        <v>16</v>
      </c>
      <c r="L27" s="80">
        <v>66</v>
      </c>
      <c r="M27" s="166">
        <v>203</v>
      </c>
      <c r="N27" s="168">
        <v>3</v>
      </c>
      <c r="O27" s="83">
        <v>29</v>
      </c>
      <c r="P27" s="157">
        <v>146</v>
      </c>
      <c r="Q27" s="161">
        <v>0</v>
      </c>
      <c r="R27" s="180">
        <v>0</v>
      </c>
      <c r="S27" s="181">
        <v>0</v>
      </c>
      <c r="T27" s="154">
        <v>0</v>
      </c>
      <c r="U27" s="178">
        <v>0</v>
      </c>
      <c r="V27" s="173">
        <v>0</v>
      </c>
      <c r="W27" s="69">
        <v>363</v>
      </c>
      <c r="X27" s="80">
        <v>2717</v>
      </c>
      <c r="Y27" s="74">
        <v>11039</v>
      </c>
    </row>
    <row r="28" spans="1:26" s="3" customFormat="1" ht="20.25" customHeight="1">
      <c r="A28" s="5" t="s">
        <v>21</v>
      </c>
      <c r="B28" s="150">
        <v>58</v>
      </c>
      <c r="C28" s="80">
        <v>5490</v>
      </c>
      <c r="D28" s="157">
        <v>18121</v>
      </c>
      <c r="E28" s="174">
        <v>8</v>
      </c>
      <c r="F28" s="80">
        <v>42</v>
      </c>
      <c r="G28" s="166">
        <v>142</v>
      </c>
      <c r="H28" s="154">
        <v>307</v>
      </c>
      <c r="I28" s="80">
        <v>603</v>
      </c>
      <c r="J28" s="157">
        <v>3511</v>
      </c>
      <c r="K28" s="154">
        <v>2</v>
      </c>
      <c r="L28" s="80">
        <v>5</v>
      </c>
      <c r="M28" s="151">
        <v>13</v>
      </c>
      <c r="N28" s="152">
        <v>2</v>
      </c>
      <c r="O28" s="80">
        <v>5</v>
      </c>
      <c r="P28" s="151">
        <v>19</v>
      </c>
      <c r="Q28" s="154">
        <v>0</v>
      </c>
      <c r="R28" s="182">
        <v>0</v>
      </c>
      <c r="S28" s="156">
        <v>0</v>
      </c>
      <c r="T28" s="154">
        <v>0</v>
      </c>
      <c r="U28" s="80">
        <v>0</v>
      </c>
      <c r="V28" s="166">
        <v>0</v>
      </c>
      <c r="W28" s="69">
        <v>377</v>
      </c>
      <c r="X28" s="80">
        <v>6145</v>
      </c>
      <c r="Y28" s="74">
        <v>21806</v>
      </c>
    </row>
    <row r="29" spans="1:26" s="3" customFormat="1" ht="20.25" customHeight="1">
      <c r="A29" s="5" t="s">
        <v>22</v>
      </c>
      <c r="B29" s="155">
        <v>2</v>
      </c>
      <c r="C29" s="80">
        <v>49</v>
      </c>
      <c r="D29" s="151">
        <v>158</v>
      </c>
      <c r="E29" s="174">
        <v>2</v>
      </c>
      <c r="F29" s="178">
        <v>2</v>
      </c>
      <c r="G29" s="151">
        <v>11</v>
      </c>
      <c r="H29" s="159">
        <v>26</v>
      </c>
      <c r="I29" s="80">
        <v>52</v>
      </c>
      <c r="J29" s="157">
        <v>325</v>
      </c>
      <c r="K29" s="154">
        <v>0</v>
      </c>
      <c r="L29" s="80">
        <v>0</v>
      </c>
      <c r="M29" s="151">
        <v>0</v>
      </c>
      <c r="N29" s="167">
        <v>1</v>
      </c>
      <c r="O29" s="83">
        <v>11</v>
      </c>
      <c r="P29" s="166">
        <v>33</v>
      </c>
      <c r="Q29" s="156">
        <v>1</v>
      </c>
      <c r="R29" s="180">
        <v>33</v>
      </c>
      <c r="S29" s="170">
        <v>142</v>
      </c>
      <c r="T29" s="168">
        <v>0</v>
      </c>
      <c r="U29" s="83">
        <v>0</v>
      </c>
      <c r="V29" s="151">
        <v>0</v>
      </c>
      <c r="W29" s="69">
        <v>32</v>
      </c>
      <c r="X29" s="80">
        <v>147</v>
      </c>
      <c r="Y29" s="74">
        <v>669</v>
      </c>
    </row>
    <row r="30" spans="1:26" s="3" customFormat="1" ht="20.25" customHeight="1">
      <c r="A30" s="5" t="s">
        <v>23</v>
      </c>
      <c r="B30" s="183">
        <v>8</v>
      </c>
      <c r="C30" s="80">
        <v>186</v>
      </c>
      <c r="D30" s="134">
        <v>552</v>
      </c>
      <c r="E30" s="131">
        <v>3</v>
      </c>
      <c r="F30" s="80">
        <v>12</v>
      </c>
      <c r="G30" s="130">
        <v>30</v>
      </c>
      <c r="H30" s="184">
        <v>38</v>
      </c>
      <c r="I30" s="80">
        <v>87</v>
      </c>
      <c r="J30" s="175">
        <v>484</v>
      </c>
      <c r="K30" s="184">
        <v>1</v>
      </c>
      <c r="L30" s="80">
        <v>3</v>
      </c>
      <c r="M30" s="130">
        <v>6</v>
      </c>
      <c r="N30" s="184">
        <v>0</v>
      </c>
      <c r="O30" s="80">
        <v>0</v>
      </c>
      <c r="P30" s="175">
        <v>0</v>
      </c>
      <c r="Q30" s="184">
        <v>2</v>
      </c>
      <c r="R30" s="80">
        <v>13</v>
      </c>
      <c r="S30" s="134">
        <v>37</v>
      </c>
      <c r="T30" s="131">
        <v>0</v>
      </c>
      <c r="U30" s="80">
        <v>0</v>
      </c>
      <c r="V30" s="175">
        <v>0</v>
      </c>
      <c r="W30" s="69">
        <v>52</v>
      </c>
      <c r="X30" s="80">
        <v>301</v>
      </c>
      <c r="Y30" s="74">
        <v>1109</v>
      </c>
    </row>
    <row r="31" spans="1:26" s="3" customFormat="1" ht="20.25" customHeight="1">
      <c r="A31" s="237" t="s">
        <v>53</v>
      </c>
      <c r="B31" s="21">
        <v>166</v>
      </c>
      <c r="C31" s="21">
        <v>11524</v>
      </c>
      <c r="D31" s="91">
        <v>37928</v>
      </c>
      <c r="E31" s="30">
        <v>65</v>
      </c>
      <c r="F31" s="21">
        <v>277</v>
      </c>
      <c r="G31" s="91">
        <v>927</v>
      </c>
      <c r="H31" s="30">
        <v>1036</v>
      </c>
      <c r="I31" s="21">
        <v>2005</v>
      </c>
      <c r="J31" s="91">
        <v>11128</v>
      </c>
      <c r="K31" s="30">
        <v>35</v>
      </c>
      <c r="L31" s="21">
        <v>135</v>
      </c>
      <c r="M31" s="91">
        <v>548</v>
      </c>
      <c r="N31" s="30">
        <v>7</v>
      </c>
      <c r="O31" s="21">
        <v>57</v>
      </c>
      <c r="P31" s="91">
        <v>222</v>
      </c>
      <c r="Q31" s="30">
        <v>7</v>
      </c>
      <c r="R31" s="21">
        <v>109</v>
      </c>
      <c r="S31" s="91">
        <v>579</v>
      </c>
      <c r="T31" s="30">
        <v>0</v>
      </c>
      <c r="U31" s="21">
        <v>0</v>
      </c>
      <c r="V31" s="91">
        <v>0</v>
      </c>
      <c r="W31" s="30">
        <v>1316</v>
      </c>
      <c r="X31" s="21">
        <v>14107</v>
      </c>
      <c r="Y31" s="38">
        <v>51332</v>
      </c>
      <c r="Z31" s="7"/>
    </row>
    <row r="32" spans="1:26" s="3" customFormat="1" ht="20.25" customHeight="1">
      <c r="A32" s="6" t="s">
        <v>24</v>
      </c>
      <c r="B32" s="146">
        <v>111</v>
      </c>
      <c r="C32" s="81">
        <v>4994</v>
      </c>
      <c r="D32" s="185">
        <v>12660</v>
      </c>
      <c r="E32" s="149">
        <v>54</v>
      </c>
      <c r="F32" s="75">
        <v>247</v>
      </c>
      <c r="G32" s="177">
        <v>728</v>
      </c>
      <c r="H32" s="148">
        <v>268</v>
      </c>
      <c r="I32" s="75">
        <v>964</v>
      </c>
      <c r="J32" s="177">
        <v>3404</v>
      </c>
      <c r="K32" s="186">
        <v>52</v>
      </c>
      <c r="L32" s="75">
        <v>252</v>
      </c>
      <c r="M32" s="147">
        <v>620</v>
      </c>
      <c r="N32" s="145">
        <v>8</v>
      </c>
      <c r="O32" s="75">
        <v>65</v>
      </c>
      <c r="P32" s="147">
        <v>224</v>
      </c>
      <c r="Q32" s="148">
        <v>3</v>
      </c>
      <c r="R32" s="75">
        <v>15</v>
      </c>
      <c r="S32" s="144">
        <v>187</v>
      </c>
      <c r="T32" s="149">
        <v>0</v>
      </c>
      <c r="U32" s="75">
        <v>0</v>
      </c>
      <c r="V32" s="177">
        <v>0</v>
      </c>
      <c r="W32" s="82">
        <v>496</v>
      </c>
      <c r="X32" s="78">
        <v>6537</v>
      </c>
      <c r="Y32" s="79">
        <v>17823</v>
      </c>
    </row>
    <row r="33" spans="1:26" s="3" customFormat="1" ht="20.25" customHeight="1">
      <c r="A33" s="5" t="s">
        <v>25</v>
      </c>
      <c r="B33" s="128">
        <v>0</v>
      </c>
      <c r="C33" s="70">
        <v>0</v>
      </c>
      <c r="D33" s="175">
        <v>0</v>
      </c>
      <c r="E33" s="184">
        <v>4</v>
      </c>
      <c r="F33" s="70">
        <v>33</v>
      </c>
      <c r="G33" s="130">
        <v>63</v>
      </c>
      <c r="H33" s="184">
        <v>3</v>
      </c>
      <c r="I33" s="70">
        <v>12</v>
      </c>
      <c r="J33" s="134">
        <v>25</v>
      </c>
      <c r="K33" s="184">
        <v>2</v>
      </c>
      <c r="L33" s="70">
        <v>10</v>
      </c>
      <c r="M33" s="175">
        <v>19</v>
      </c>
      <c r="N33" s="187">
        <v>0</v>
      </c>
      <c r="O33" s="70">
        <v>0</v>
      </c>
      <c r="P33" s="175">
        <v>0</v>
      </c>
      <c r="Q33" s="184">
        <v>1</v>
      </c>
      <c r="R33" s="70">
        <v>14</v>
      </c>
      <c r="S33" s="175">
        <v>44</v>
      </c>
      <c r="T33" s="184">
        <v>0</v>
      </c>
      <c r="U33" s="70">
        <v>0</v>
      </c>
      <c r="V33" s="130">
        <v>0</v>
      </c>
      <c r="W33" s="69">
        <v>10</v>
      </c>
      <c r="X33" s="71">
        <v>69</v>
      </c>
      <c r="Y33" s="74">
        <v>151</v>
      </c>
    </row>
    <row r="34" spans="1:26" s="3" customFormat="1" ht="20.25" customHeight="1">
      <c r="A34" s="237" t="s">
        <v>54</v>
      </c>
      <c r="B34" s="21">
        <v>111</v>
      </c>
      <c r="C34" s="21">
        <v>4994</v>
      </c>
      <c r="D34" s="21">
        <v>12660</v>
      </c>
      <c r="E34" s="31">
        <v>58</v>
      </c>
      <c r="F34" s="25">
        <v>280</v>
      </c>
      <c r="G34" s="34">
        <v>791</v>
      </c>
      <c r="H34" s="31">
        <v>271</v>
      </c>
      <c r="I34" s="24">
        <v>976</v>
      </c>
      <c r="J34" s="25">
        <v>3429</v>
      </c>
      <c r="K34" s="29">
        <v>54</v>
      </c>
      <c r="L34" s="21">
        <v>262</v>
      </c>
      <c r="M34" s="21">
        <v>639</v>
      </c>
      <c r="N34" s="31">
        <v>8</v>
      </c>
      <c r="O34" s="23">
        <v>65</v>
      </c>
      <c r="P34" s="34">
        <v>224</v>
      </c>
      <c r="Q34" s="31">
        <v>4</v>
      </c>
      <c r="R34" s="23">
        <v>29</v>
      </c>
      <c r="S34" s="30">
        <v>231</v>
      </c>
      <c r="T34" s="31">
        <v>0</v>
      </c>
      <c r="U34" s="23">
        <v>0</v>
      </c>
      <c r="V34" s="25">
        <v>0</v>
      </c>
      <c r="W34" s="29">
        <v>506</v>
      </c>
      <c r="X34" s="21">
        <v>6606</v>
      </c>
      <c r="Y34" s="38">
        <v>17974</v>
      </c>
      <c r="Z34" s="7"/>
    </row>
    <row r="35" spans="1:26" s="3" customFormat="1" ht="20.25" customHeight="1">
      <c r="A35" s="6" t="s">
        <v>26</v>
      </c>
      <c r="B35" s="136">
        <v>82</v>
      </c>
      <c r="C35" s="80">
        <v>4694</v>
      </c>
      <c r="D35" s="144">
        <v>12578</v>
      </c>
      <c r="E35" s="145">
        <v>57</v>
      </c>
      <c r="F35" s="75">
        <v>367</v>
      </c>
      <c r="G35" s="177">
        <v>957</v>
      </c>
      <c r="H35" s="145">
        <v>246</v>
      </c>
      <c r="I35" s="106">
        <v>678</v>
      </c>
      <c r="J35" s="177">
        <v>2364</v>
      </c>
      <c r="K35" s="145">
        <v>58</v>
      </c>
      <c r="L35" s="75">
        <v>416</v>
      </c>
      <c r="M35" s="147">
        <v>858</v>
      </c>
      <c r="N35" s="145">
        <v>13</v>
      </c>
      <c r="O35" s="75">
        <v>163</v>
      </c>
      <c r="P35" s="177">
        <v>393</v>
      </c>
      <c r="Q35" s="148">
        <v>2</v>
      </c>
      <c r="R35" s="75">
        <v>18</v>
      </c>
      <c r="S35" s="144">
        <v>157</v>
      </c>
      <c r="T35" s="149">
        <v>0</v>
      </c>
      <c r="U35" s="75">
        <v>0</v>
      </c>
      <c r="V35" s="147">
        <v>0</v>
      </c>
      <c r="W35" s="77">
        <v>458</v>
      </c>
      <c r="X35" s="75">
        <v>6336</v>
      </c>
      <c r="Y35" s="79">
        <v>17307</v>
      </c>
    </row>
    <row r="36" spans="1:26" s="3" customFormat="1" ht="20.25" customHeight="1">
      <c r="A36" s="5" t="s">
        <v>27</v>
      </c>
      <c r="B36" s="150">
        <v>35</v>
      </c>
      <c r="C36" s="70">
        <v>752</v>
      </c>
      <c r="D36" s="157">
        <v>2300</v>
      </c>
      <c r="E36" s="160">
        <v>67</v>
      </c>
      <c r="F36" s="71">
        <v>450</v>
      </c>
      <c r="G36" s="166">
        <v>1160</v>
      </c>
      <c r="H36" s="159">
        <v>41</v>
      </c>
      <c r="I36" s="70">
        <v>107</v>
      </c>
      <c r="J36" s="158">
        <v>349</v>
      </c>
      <c r="K36" s="152">
        <v>9</v>
      </c>
      <c r="L36" s="70">
        <v>37</v>
      </c>
      <c r="M36" s="151">
        <v>99</v>
      </c>
      <c r="N36" s="160">
        <v>0</v>
      </c>
      <c r="O36" s="71">
        <v>0</v>
      </c>
      <c r="P36" s="166">
        <v>0</v>
      </c>
      <c r="Q36" s="164">
        <v>1</v>
      </c>
      <c r="R36" s="71">
        <v>6</v>
      </c>
      <c r="S36" s="151">
        <v>40</v>
      </c>
      <c r="T36" s="161">
        <v>1</v>
      </c>
      <c r="U36" s="71">
        <v>8</v>
      </c>
      <c r="V36" s="151">
        <v>25</v>
      </c>
      <c r="W36" s="69">
        <v>154</v>
      </c>
      <c r="X36" s="71">
        <v>1360</v>
      </c>
      <c r="Y36" s="74">
        <v>3973</v>
      </c>
    </row>
    <row r="37" spans="1:26" s="3" customFormat="1" ht="20.25" customHeight="1">
      <c r="A37" s="5" t="s">
        <v>28</v>
      </c>
      <c r="B37" s="128">
        <v>8</v>
      </c>
      <c r="C37" s="70">
        <v>57</v>
      </c>
      <c r="D37" s="175">
        <v>119</v>
      </c>
      <c r="E37" s="184">
        <v>12</v>
      </c>
      <c r="F37" s="70">
        <v>112</v>
      </c>
      <c r="G37" s="175">
        <v>273</v>
      </c>
      <c r="H37" s="184">
        <v>7</v>
      </c>
      <c r="I37" s="70">
        <v>14</v>
      </c>
      <c r="J37" s="175">
        <v>63</v>
      </c>
      <c r="K37" s="184">
        <v>1</v>
      </c>
      <c r="L37" s="70">
        <v>7</v>
      </c>
      <c r="M37" s="130">
        <v>20</v>
      </c>
      <c r="N37" s="184">
        <v>0</v>
      </c>
      <c r="O37" s="70">
        <v>0</v>
      </c>
      <c r="P37" s="175">
        <v>0</v>
      </c>
      <c r="Q37" s="184">
        <v>0</v>
      </c>
      <c r="R37" s="70">
        <v>0</v>
      </c>
      <c r="S37" s="134">
        <v>0</v>
      </c>
      <c r="T37" s="131">
        <v>0</v>
      </c>
      <c r="U37" s="70">
        <v>0</v>
      </c>
      <c r="V37" s="130">
        <v>0</v>
      </c>
      <c r="W37" s="69">
        <v>28</v>
      </c>
      <c r="X37" s="71">
        <v>190</v>
      </c>
      <c r="Y37" s="74">
        <v>475</v>
      </c>
    </row>
    <row r="38" spans="1:26" s="3" customFormat="1" ht="20.25" customHeight="1">
      <c r="A38" s="237" t="s">
        <v>55</v>
      </c>
      <c r="B38" s="21">
        <v>125</v>
      </c>
      <c r="C38" s="21">
        <v>5503</v>
      </c>
      <c r="D38" s="38">
        <v>14997</v>
      </c>
      <c r="E38" s="30">
        <v>136</v>
      </c>
      <c r="F38" s="30">
        <v>929</v>
      </c>
      <c r="G38" s="30">
        <v>2390</v>
      </c>
      <c r="H38" s="31">
        <v>294</v>
      </c>
      <c r="I38" s="23">
        <v>799</v>
      </c>
      <c r="J38" s="30">
        <v>2776</v>
      </c>
      <c r="K38" s="31">
        <v>68</v>
      </c>
      <c r="L38" s="25">
        <v>460</v>
      </c>
      <c r="M38" s="34">
        <v>977</v>
      </c>
      <c r="N38" s="31">
        <v>13</v>
      </c>
      <c r="O38" s="23">
        <v>163</v>
      </c>
      <c r="P38" s="24">
        <v>393</v>
      </c>
      <c r="Q38" s="29">
        <v>3</v>
      </c>
      <c r="R38" s="21">
        <v>24</v>
      </c>
      <c r="S38" s="37">
        <v>197</v>
      </c>
      <c r="T38" s="29">
        <v>1</v>
      </c>
      <c r="U38" s="30">
        <v>8</v>
      </c>
      <c r="V38" s="30">
        <v>25</v>
      </c>
      <c r="W38" s="31">
        <v>640</v>
      </c>
      <c r="X38" s="23">
        <v>7886</v>
      </c>
      <c r="Y38" s="34">
        <v>21755</v>
      </c>
      <c r="Z38" s="7"/>
    </row>
    <row r="39" spans="1:26" s="3" customFormat="1" ht="20.25" customHeight="1">
      <c r="A39" s="4" t="s">
        <v>29</v>
      </c>
      <c r="B39" s="128">
        <v>8</v>
      </c>
      <c r="C39" s="76">
        <v>377</v>
      </c>
      <c r="D39" s="134">
        <v>1609</v>
      </c>
      <c r="E39" s="131">
        <v>15</v>
      </c>
      <c r="F39" s="80">
        <v>135</v>
      </c>
      <c r="G39" s="130">
        <v>439</v>
      </c>
      <c r="H39" s="135">
        <v>12</v>
      </c>
      <c r="I39" s="80">
        <v>31</v>
      </c>
      <c r="J39" s="134">
        <v>95</v>
      </c>
      <c r="K39" s="131">
        <v>2</v>
      </c>
      <c r="L39" s="80">
        <v>3</v>
      </c>
      <c r="M39" s="130">
        <v>27</v>
      </c>
      <c r="N39" s="131">
        <v>1</v>
      </c>
      <c r="O39" s="80">
        <v>30</v>
      </c>
      <c r="P39" s="130">
        <v>39</v>
      </c>
      <c r="Q39" s="135">
        <v>0</v>
      </c>
      <c r="R39" s="80">
        <v>0</v>
      </c>
      <c r="S39" s="134">
        <v>0</v>
      </c>
      <c r="T39" s="131">
        <v>0</v>
      </c>
      <c r="U39" s="80">
        <v>0</v>
      </c>
      <c r="V39" s="130">
        <v>0</v>
      </c>
      <c r="W39" s="77">
        <v>38</v>
      </c>
      <c r="X39" s="78">
        <v>576</v>
      </c>
      <c r="Y39" s="79">
        <v>2209</v>
      </c>
    </row>
    <row r="40" spans="1:26" s="3" customFormat="1" ht="20.25" customHeight="1">
      <c r="A40" s="5" t="s">
        <v>30</v>
      </c>
      <c r="B40" s="128">
        <v>3</v>
      </c>
      <c r="C40" s="70">
        <v>72</v>
      </c>
      <c r="D40" s="134">
        <v>186</v>
      </c>
      <c r="E40" s="131">
        <v>17</v>
      </c>
      <c r="F40" s="70">
        <v>135</v>
      </c>
      <c r="G40" s="130">
        <v>497</v>
      </c>
      <c r="H40" s="135">
        <v>11</v>
      </c>
      <c r="I40" s="70">
        <v>49</v>
      </c>
      <c r="J40" s="134">
        <v>168</v>
      </c>
      <c r="K40" s="131">
        <v>1</v>
      </c>
      <c r="L40" s="70">
        <v>5</v>
      </c>
      <c r="M40" s="130">
        <v>18</v>
      </c>
      <c r="N40" s="131">
        <v>0</v>
      </c>
      <c r="O40" s="80">
        <v>0</v>
      </c>
      <c r="P40" s="130">
        <v>0</v>
      </c>
      <c r="Q40" s="135">
        <v>0</v>
      </c>
      <c r="R40" s="70">
        <v>0</v>
      </c>
      <c r="S40" s="134">
        <v>0</v>
      </c>
      <c r="T40" s="131">
        <v>0</v>
      </c>
      <c r="U40" s="80">
        <v>0</v>
      </c>
      <c r="V40" s="130">
        <v>0</v>
      </c>
      <c r="W40" s="69">
        <v>32</v>
      </c>
      <c r="X40" s="71">
        <v>261</v>
      </c>
      <c r="Y40" s="74">
        <v>869</v>
      </c>
    </row>
    <row r="41" spans="1:26" s="3" customFormat="1" ht="20.25" customHeight="1">
      <c r="A41" s="5" t="s">
        <v>31</v>
      </c>
      <c r="B41" s="128">
        <v>14</v>
      </c>
      <c r="C41" s="70">
        <v>97</v>
      </c>
      <c r="D41" s="134">
        <v>305</v>
      </c>
      <c r="E41" s="131">
        <v>48</v>
      </c>
      <c r="F41" s="70">
        <v>300</v>
      </c>
      <c r="G41" s="130">
        <v>907</v>
      </c>
      <c r="H41" s="135">
        <v>9</v>
      </c>
      <c r="I41" s="70">
        <v>45</v>
      </c>
      <c r="J41" s="134">
        <v>140</v>
      </c>
      <c r="K41" s="131">
        <v>0</v>
      </c>
      <c r="L41" s="70">
        <v>0</v>
      </c>
      <c r="M41" s="130">
        <v>0</v>
      </c>
      <c r="N41" s="131">
        <v>0</v>
      </c>
      <c r="O41" s="80">
        <v>0</v>
      </c>
      <c r="P41" s="130">
        <v>0</v>
      </c>
      <c r="Q41" s="135">
        <v>2</v>
      </c>
      <c r="R41" s="70">
        <v>9</v>
      </c>
      <c r="S41" s="134">
        <v>66</v>
      </c>
      <c r="T41" s="131">
        <v>0</v>
      </c>
      <c r="U41" s="80">
        <v>0</v>
      </c>
      <c r="V41" s="130">
        <v>0</v>
      </c>
      <c r="W41" s="69">
        <v>73</v>
      </c>
      <c r="X41" s="71">
        <v>451</v>
      </c>
      <c r="Y41" s="74">
        <v>1418</v>
      </c>
    </row>
    <row r="42" spans="1:26" s="3" customFormat="1" ht="20.25" customHeight="1">
      <c r="A42" s="5" t="s">
        <v>32</v>
      </c>
      <c r="B42" s="128">
        <v>0</v>
      </c>
      <c r="C42" s="70">
        <v>0</v>
      </c>
      <c r="D42" s="134">
        <v>0</v>
      </c>
      <c r="E42" s="131">
        <v>6</v>
      </c>
      <c r="F42" s="70">
        <v>48</v>
      </c>
      <c r="G42" s="130">
        <v>146</v>
      </c>
      <c r="H42" s="135">
        <v>6</v>
      </c>
      <c r="I42" s="70">
        <v>23</v>
      </c>
      <c r="J42" s="134">
        <v>92</v>
      </c>
      <c r="K42" s="131">
        <v>0</v>
      </c>
      <c r="L42" s="70">
        <v>0</v>
      </c>
      <c r="M42" s="130">
        <v>0</v>
      </c>
      <c r="N42" s="131">
        <v>0</v>
      </c>
      <c r="O42" s="80">
        <v>0</v>
      </c>
      <c r="P42" s="130">
        <v>0</v>
      </c>
      <c r="Q42" s="135">
        <v>0</v>
      </c>
      <c r="R42" s="70">
        <v>0</v>
      </c>
      <c r="S42" s="134">
        <v>0</v>
      </c>
      <c r="T42" s="131">
        <v>0</v>
      </c>
      <c r="U42" s="80">
        <v>0</v>
      </c>
      <c r="V42" s="130">
        <v>0</v>
      </c>
      <c r="W42" s="69">
        <v>12</v>
      </c>
      <c r="X42" s="71">
        <v>71</v>
      </c>
      <c r="Y42" s="74">
        <v>238</v>
      </c>
    </row>
    <row r="43" spans="1:26" s="3" customFormat="1" ht="20.25" customHeight="1">
      <c r="A43" s="5" t="s">
        <v>33</v>
      </c>
      <c r="B43" s="128">
        <v>0</v>
      </c>
      <c r="C43" s="70">
        <v>0</v>
      </c>
      <c r="D43" s="134">
        <v>0</v>
      </c>
      <c r="E43" s="131">
        <v>2</v>
      </c>
      <c r="F43" s="70">
        <v>11</v>
      </c>
      <c r="G43" s="130">
        <v>23</v>
      </c>
      <c r="H43" s="135">
        <v>6</v>
      </c>
      <c r="I43" s="70">
        <v>11</v>
      </c>
      <c r="J43" s="134">
        <v>30</v>
      </c>
      <c r="K43" s="131">
        <v>0</v>
      </c>
      <c r="L43" s="70">
        <v>0</v>
      </c>
      <c r="M43" s="130">
        <v>0</v>
      </c>
      <c r="N43" s="131">
        <v>0</v>
      </c>
      <c r="O43" s="80">
        <v>0</v>
      </c>
      <c r="P43" s="130">
        <v>0</v>
      </c>
      <c r="Q43" s="135">
        <v>0</v>
      </c>
      <c r="R43" s="70">
        <v>0</v>
      </c>
      <c r="S43" s="134">
        <v>0</v>
      </c>
      <c r="T43" s="131">
        <v>0</v>
      </c>
      <c r="U43" s="80">
        <v>0</v>
      </c>
      <c r="V43" s="130">
        <v>0</v>
      </c>
      <c r="W43" s="69">
        <v>8</v>
      </c>
      <c r="X43" s="71">
        <v>22</v>
      </c>
      <c r="Y43" s="74">
        <v>53</v>
      </c>
    </row>
    <row r="44" spans="1:26" s="3" customFormat="1" ht="20.25" customHeight="1">
      <c r="A44" s="5" t="s">
        <v>34</v>
      </c>
      <c r="B44" s="128">
        <v>5</v>
      </c>
      <c r="C44" s="70">
        <v>126</v>
      </c>
      <c r="D44" s="134">
        <v>230</v>
      </c>
      <c r="E44" s="131">
        <v>1</v>
      </c>
      <c r="F44" s="70">
        <v>5</v>
      </c>
      <c r="G44" s="130">
        <v>20</v>
      </c>
      <c r="H44" s="135">
        <v>1</v>
      </c>
      <c r="I44" s="70">
        <v>7</v>
      </c>
      <c r="J44" s="134">
        <v>14</v>
      </c>
      <c r="K44" s="131">
        <v>0</v>
      </c>
      <c r="L44" s="70">
        <v>0</v>
      </c>
      <c r="M44" s="130">
        <v>0</v>
      </c>
      <c r="N44" s="131">
        <v>0</v>
      </c>
      <c r="O44" s="80">
        <v>0</v>
      </c>
      <c r="P44" s="130">
        <v>0</v>
      </c>
      <c r="Q44" s="135">
        <v>0</v>
      </c>
      <c r="R44" s="70">
        <v>0</v>
      </c>
      <c r="S44" s="134">
        <v>0</v>
      </c>
      <c r="T44" s="131">
        <v>0</v>
      </c>
      <c r="U44" s="80">
        <v>0</v>
      </c>
      <c r="V44" s="130">
        <v>0</v>
      </c>
      <c r="W44" s="69">
        <v>7</v>
      </c>
      <c r="X44" s="71">
        <v>138</v>
      </c>
      <c r="Y44" s="74">
        <v>264</v>
      </c>
    </row>
    <row r="45" spans="1:26" s="3" customFormat="1" ht="20.25" customHeight="1">
      <c r="A45" s="5" t="s">
        <v>35</v>
      </c>
      <c r="B45" s="128">
        <v>1</v>
      </c>
      <c r="C45" s="70">
        <v>45</v>
      </c>
      <c r="D45" s="134">
        <v>70</v>
      </c>
      <c r="E45" s="131">
        <v>1</v>
      </c>
      <c r="F45" s="70">
        <v>24</v>
      </c>
      <c r="G45" s="130">
        <v>24</v>
      </c>
      <c r="H45" s="135">
        <v>0</v>
      </c>
      <c r="I45" s="70">
        <v>0</v>
      </c>
      <c r="J45" s="134">
        <v>0</v>
      </c>
      <c r="K45" s="131">
        <v>0</v>
      </c>
      <c r="L45" s="70">
        <v>0</v>
      </c>
      <c r="M45" s="130">
        <v>0</v>
      </c>
      <c r="N45" s="131">
        <v>0</v>
      </c>
      <c r="O45" s="80">
        <v>0</v>
      </c>
      <c r="P45" s="130">
        <v>0</v>
      </c>
      <c r="Q45" s="135">
        <v>0</v>
      </c>
      <c r="R45" s="70">
        <v>0</v>
      </c>
      <c r="S45" s="134">
        <v>0</v>
      </c>
      <c r="T45" s="131">
        <v>0</v>
      </c>
      <c r="U45" s="80">
        <v>0</v>
      </c>
      <c r="V45" s="130">
        <v>0</v>
      </c>
      <c r="W45" s="69">
        <v>2</v>
      </c>
      <c r="X45" s="71">
        <v>69</v>
      </c>
      <c r="Y45" s="74">
        <v>94</v>
      </c>
    </row>
    <row r="46" spans="1:26" s="3" customFormat="1" ht="20.25" customHeight="1">
      <c r="A46" s="5" t="s">
        <v>36</v>
      </c>
      <c r="B46" s="128">
        <v>5</v>
      </c>
      <c r="C46" s="70">
        <v>91</v>
      </c>
      <c r="D46" s="134">
        <v>258</v>
      </c>
      <c r="E46" s="131">
        <v>10</v>
      </c>
      <c r="F46" s="70">
        <v>77</v>
      </c>
      <c r="G46" s="130">
        <v>192</v>
      </c>
      <c r="H46" s="135">
        <v>5</v>
      </c>
      <c r="I46" s="70">
        <v>8</v>
      </c>
      <c r="J46" s="134">
        <v>45</v>
      </c>
      <c r="K46" s="131">
        <v>0</v>
      </c>
      <c r="L46" s="70">
        <v>0</v>
      </c>
      <c r="M46" s="130">
        <v>0</v>
      </c>
      <c r="N46" s="131">
        <v>0</v>
      </c>
      <c r="O46" s="80">
        <v>0</v>
      </c>
      <c r="P46" s="130">
        <v>0</v>
      </c>
      <c r="Q46" s="135">
        <v>0</v>
      </c>
      <c r="R46" s="70">
        <v>0</v>
      </c>
      <c r="S46" s="134">
        <v>0</v>
      </c>
      <c r="T46" s="131">
        <v>0</v>
      </c>
      <c r="U46" s="80">
        <v>0</v>
      </c>
      <c r="V46" s="130">
        <v>0</v>
      </c>
      <c r="W46" s="69">
        <v>20</v>
      </c>
      <c r="X46" s="71">
        <v>176</v>
      </c>
      <c r="Y46" s="74">
        <v>495</v>
      </c>
    </row>
    <row r="47" spans="1:26" s="3" customFormat="1" ht="20.25" customHeight="1">
      <c r="A47" s="5" t="s">
        <v>37</v>
      </c>
      <c r="B47" s="128">
        <v>3</v>
      </c>
      <c r="C47" s="70">
        <v>52</v>
      </c>
      <c r="D47" s="134">
        <v>101</v>
      </c>
      <c r="E47" s="131">
        <v>8</v>
      </c>
      <c r="F47" s="70">
        <v>67</v>
      </c>
      <c r="G47" s="130">
        <v>188</v>
      </c>
      <c r="H47" s="135">
        <v>0</v>
      </c>
      <c r="I47" s="70">
        <v>0</v>
      </c>
      <c r="J47" s="134">
        <v>0</v>
      </c>
      <c r="K47" s="131">
        <v>1</v>
      </c>
      <c r="L47" s="70">
        <v>2</v>
      </c>
      <c r="M47" s="130">
        <v>10</v>
      </c>
      <c r="N47" s="131">
        <v>0</v>
      </c>
      <c r="O47" s="70">
        <v>0</v>
      </c>
      <c r="P47" s="130">
        <v>0</v>
      </c>
      <c r="Q47" s="135">
        <v>5</v>
      </c>
      <c r="R47" s="70">
        <v>10</v>
      </c>
      <c r="S47" s="134">
        <v>354</v>
      </c>
      <c r="T47" s="131">
        <v>0</v>
      </c>
      <c r="U47" s="80">
        <v>0</v>
      </c>
      <c r="V47" s="130">
        <v>0</v>
      </c>
      <c r="W47" s="69">
        <v>17</v>
      </c>
      <c r="X47" s="71">
        <v>131</v>
      </c>
      <c r="Y47" s="74">
        <v>653</v>
      </c>
    </row>
    <row r="48" spans="1:26" s="3" customFormat="1" ht="20.25" customHeight="1">
      <c r="A48" s="5" t="s">
        <v>38</v>
      </c>
      <c r="B48" s="128">
        <v>4</v>
      </c>
      <c r="C48" s="70">
        <v>58</v>
      </c>
      <c r="D48" s="134">
        <v>147</v>
      </c>
      <c r="E48" s="131">
        <v>10</v>
      </c>
      <c r="F48" s="70">
        <v>80</v>
      </c>
      <c r="G48" s="130">
        <v>223</v>
      </c>
      <c r="H48" s="135">
        <v>5</v>
      </c>
      <c r="I48" s="70">
        <v>5</v>
      </c>
      <c r="J48" s="134">
        <v>38</v>
      </c>
      <c r="K48" s="131">
        <v>0</v>
      </c>
      <c r="L48" s="70">
        <v>0</v>
      </c>
      <c r="M48" s="130">
        <v>0</v>
      </c>
      <c r="N48" s="131">
        <v>0</v>
      </c>
      <c r="O48" s="70">
        <v>0</v>
      </c>
      <c r="P48" s="130">
        <v>0</v>
      </c>
      <c r="Q48" s="135">
        <v>0</v>
      </c>
      <c r="R48" s="70">
        <v>0</v>
      </c>
      <c r="S48" s="134">
        <v>0</v>
      </c>
      <c r="T48" s="131">
        <v>0</v>
      </c>
      <c r="U48" s="80">
        <v>0</v>
      </c>
      <c r="V48" s="130">
        <v>0</v>
      </c>
      <c r="W48" s="69">
        <v>19</v>
      </c>
      <c r="X48" s="71">
        <v>143</v>
      </c>
      <c r="Y48" s="74">
        <v>408</v>
      </c>
    </row>
    <row r="49" spans="1:26" s="3" customFormat="1" ht="20.25" customHeight="1">
      <c r="A49" s="237" t="s">
        <v>56</v>
      </c>
      <c r="B49" s="39">
        <v>43</v>
      </c>
      <c r="C49" s="39">
        <v>918</v>
      </c>
      <c r="D49" s="38">
        <v>2906</v>
      </c>
      <c r="E49" s="40">
        <v>118</v>
      </c>
      <c r="F49" s="40">
        <v>882</v>
      </c>
      <c r="G49" s="38">
        <v>2659</v>
      </c>
      <c r="H49" s="40">
        <v>55</v>
      </c>
      <c r="I49" s="40">
        <v>179</v>
      </c>
      <c r="J49" s="41">
        <v>622</v>
      </c>
      <c r="K49" s="29">
        <v>4</v>
      </c>
      <c r="L49" s="40">
        <v>10</v>
      </c>
      <c r="M49" s="41">
        <v>55</v>
      </c>
      <c r="N49" s="29">
        <v>1</v>
      </c>
      <c r="O49" s="40">
        <v>30</v>
      </c>
      <c r="P49" s="40">
        <v>39</v>
      </c>
      <c r="Q49" s="42">
        <v>7</v>
      </c>
      <c r="R49" s="25">
        <v>19</v>
      </c>
      <c r="S49" s="25">
        <v>420</v>
      </c>
      <c r="T49" s="29">
        <v>0</v>
      </c>
      <c r="U49" s="40">
        <v>0</v>
      </c>
      <c r="V49" s="40">
        <v>0</v>
      </c>
      <c r="W49" s="42">
        <v>228</v>
      </c>
      <c r="X49" s="23">
        <v>2038</v>
      </c>
      <c r="Y49" s="34">
        <v>6701</v>
      </c>
      <c r="Z49" s="7"/>
    </row>
    <row r="50" spans="1:26" s="3" customFormat="1" ht="35.25" customHeight="1">
      <c r="A50" s="238" t="s">
        <v>57</v>
      </c>
      <c r="B50" s="43">
        <v>908</v>
      </c>
      <c r="C50" s="43">
        <v>52587</v>
      </c>
      <c r="D50" s="44">
        <v>144022</v>
      </c>
      <c r="E50" s="45">
        <v>438</v>
      </c>
      <c r="F50" s="43">
        <v>2683</v>
      </c>
      <c r="G50" s="44">
        <v>7549</v>
      </c>
      <c r="H50" s="45">
        <v>2183</v>
      </c>
      <c r="I50" s="43">
        <v>5003</v>
      </c>
      <c r="J50" s="44">
        <v>23325</v>
      </c>
      <c r="K50" s="45">
        <v>290</v>
      </c>
      <c r="L50" s="43">
        <v>2250</v>
      </c>
      <c r="M50" s="44">
        <v>5541</v>
      </c>
      <c r="N50" s="45">
        <v>61</v>
      </c>
      <c r="O50" s="43">
        <v>627</v>
      </c>
      <c r="P50" s="43">
        <v>1646</v>
      </c>
      <c r="Q50" s="46">
        <v>31</v>
      </c>
      <c r="R50" s="43">
        <v>298</v>
      </c>
      <c r="S50" s="44">
        <v>2389</v>
      </c>
      <c r="T50" s="45">
        <v>3</v>
      </c>
      <c r="U50" s="43">
        <v>49</v>
      </c>
      <c r="V50" s="43">
        <v>260</v>
      </c>
      <c r="W50" s="47">
        <v>3914</v>
      </c>
      <c r="X50" s="188">
        <v>63497</v>
      </c>
      <c r="Y50" s="233">
        <v>184732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3" activePane="bottomRight" state="frozen"/>
      <selection activeCell="B146" sqref="B146"/>
      <selection pane="topRight" activeCell="B146" sqref="B146"/>
      <selection pane="bottomLeft" activeCell="B146" sqref="B146"/>
      <selection pane="bottomRight" sqref="A1:M2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248"/>
      <c r="B1" s="253" t="s">
        <v>58</v>
      </c>
      <c r="C1" s="251"/>
      <c r="D1" s="254"/>
      <c r="E1" s="250" t="s">
        <v>59</v>
      </c>
      <c r="F1" s="251"/>
      <c r="G1" s="255"/>
      <c r="H1" s="253" t="s">
        <v>60</v>
      </c>
      <c r="I1" s="251"/>
      <c r="J1" s="254"/>
      <c r="K1" s="250" t="s">
        <v>48</v>
      </c>
      <c r="L1" s="251"/>
      <c r="M1" s="252"/>
      <c r="N1" s="14"/>
    </row>
    <row r="2" spans="1:14" ht="20.100000000000001" customHeight="1">
      <c r="A2" s="249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14"/>
    </row>
    <row r="3" spans="1:14" ht="20.100000000000001" customHeight="1">
      <c r="A3" s="68" t="s">
        <v>39</v>
      </c>
      <c r="B3" s="124">
        <v>51</v>
      </c>
      <c r="C3" s="84">
        <v>11446</v>
      </c>
      <c r="D3" s="123">
        <v>27906</v>
      </c>
      <c r="E3" s="126">
        <v>70</v>
      </c>
      <c r="F3" s="84">
        <v>6215</v>
      </c>
      <c r="G3" s="125">
        <v>13013</v>
      </c>
      <c r="H3" s="124">
        <v>157</v>
      </c>
      <c r="I3" s="84">
        <v>2787</v>
      </c>
      <c r="J3" s="123">
        <v>6595</v>
      </c>
      <c r="K3" s="85">
        <v>278</v>
      </c>
      <c r="L3" s="84">
        <v>20448</v>
      </c>
      <c r="M3" s="99">
        <v>47514</v>
      </c>
    </row>
    <row r="4" spans="1:14" ht="20.100000000000001" customHeight="1">
      <c r="A4" s="5" t="s">
        <v>0</v>
      </c>
      <c r="B4" s="124">
        <v>2</v>
      </c>
      <c r="C4" s="84">
        <v>938</v>
      </c>
      <c r="D4" s="123">
        <v>2556</v>
      </c>
      <c r="E4" s="126">
        <v>0</v>
      </c>
      <c r="F4" s="84">
        <v>0</v>
      </c>
      <c r="G4" s="125">
        <v>0</v>
      </c>
      <c r="H4" s="124">
        <v>5</v>
      </c>
      <c r="I4" s="84">
        <v>108</v>
      </c>
      <c r="J4" s="123">
        <v>282</v>
      </c>
      <c r="K4" s="85">
        <v>7</v>
      </c>
      <c r="L4" s="84">
        <v>1046</v>
      </c>
      <c r="M4" s="99">
        <v>2838</v>
      </c>
    </row>
    <row r="5" spans="1:14" ht="20.100000000000001" customHeight="1">
      <c r="A5" s="5" t="s">
        <v>1</v>
      </c>
      <c r="B5" s="124">
        <v>1</v>
      </c>
      <c r="C5" s="84">
        <v>105</v>
      </c>
      <c r="D5" s="123">
        <v>353</v>
      </c>
      <c r="E5" s="126">
        <v>1</v>
      </c>
      <c r="F5" s="84">
        <v>168</v>
      </c>
      <c r="G5" s="125">
        <v>252</v>
      </c>
      <c r="H5" s="124">
        <v>2</v>
      </c>
      <c r="I5" s="84">
        <v>49</v>
      </c>
      <c r="J5" s="123">
        <v>139</v>
      </c>
      <c r="K5" s="85">
        <v>4</v>
      </c>
      <c r="L5" s="84">
        <v>322</v>
      </c>
      <c r="M5" s="99">
        <v>744</v>
      </c>
    </row>
    <row r="6" spans="1:14" ht="20.100000000000001" customHeight="1">
      <c r="A6" s="5" t="s">
        <v>2</v>
      </c>
      <c r="B6" s="124">
        <v>0</v>
      </c>
      <c r="C6" s="84">
        <v>0</v>
      </c>
      <c r="D6" s="123">
        <v>0</v>
      </c>
      <c r="E6" s="126">
        <v>1</v>
      </c>
      <c r="F6" s="84">
        <v>52</v>
      </c>
      <c r="G6" s="125">
        <v>104</v>
      </c>
      <c r="H6" s="124">
        <v>1</v>
      </c>
      <c r="I6" s="84">
        <v>9</v>
      </c>
      <c r="J6" s="123">
        <v>36</v>
      </c>
      <c r="K6" s="85">
        <v>2</v>
      </c>
      <c r="L6" s="84">
        <v>61</v>
      </c>
      <c r="M6" s="99">
        <v>140</v>
      </c>
    </row>
    <row r="7" spans="1:14" ht="20.100000000000001" customHeight="1">
      <c r="A7" s="5" t="s">
        <v>3</v>
      </c>
      <c r="B7" s="124">
        <v>1</v>
      </c>
      <c r="C7" s="84">
        <v>147</v>
      </c>
      <c r="D7" s="123">
        <v>591</v>
      </c>
      <c r="E7" s="126">
        <v>0</v>
      </c>
      <c r="F7" s="84">
        <v>0</v>
      </c>
      <c r="G7" s="125">
        <v>0</v>
      </c>
      <c r="H7" s="124">
        <v>6</v>
      </c>
      <c r="I7" s="84">
        <v>36</v>
      </c>
      <c r="J7" s="123">
        <v>164</v>
      </c>
      <c r="K7" s="85">
        <v>7</v>
      </c>
      <c r="L7" s="84">
        <v>183</v>
      </c>
      <c r="M7" s="99">
        <v>755</v>
      </c>
    </row>
    <row r="8" spans="1:14" ht="20.100000000000001" customHeight="1">
      <c r="A8" s="5" t="s">
        <v>4</v>
      </c>
      <c r="B8" s="124">
        <v>0</v>
      </c>
      <c r="C8" s="84">
        <v>0</v>
      </c>
      <c r="D8" s="123">
        <v>0</v>
      </c>
      <c r="E8" s="126">
        <v>0</v>
      </c>
      <c r="F8" s="84">
        <v>0</v>
      </c>
      <c r="G8" s="125">
        <v>0</v>
      </c>
      <c r="H8" s="124">
        <v>1</v>
      </c>
      <c r="I8" s="84">
        <v>13</v>
      </c>
      <c r="J8" s="123">
        <v>27</v>
      </c>
      <c r="K8" s="85">
        <v>1</v>
      </c>
      <c r="L8" s="84">
        <v>13</v>
      </c>
      <c r="M8" s="99">
        <v>27</v>
      </c>
    </row>
    <row r="9" spans="1:14" ht="20.100000000000001" customHeight="1">
      <c r="A9" s="5" t="s">
        <v>5</v>
      </c>
      <c r="B9" s="124">
        <v>0</v>
      </c>
      <c r="C9" s="84">
        <v>0</v>
      </c>
      <c r="D9" s="123">
        <v>0</v>
      </c>
      <c r="E9" s="126">
        <v>0</v>
      </c>
      <c r="F9" s="84">
        <v>0</v>
      </c>
      <c r="G9" s="125">
        <v>0</v>
      </c>
      <c r="H9" s="124">
        <v>1</v>
      </c>
      <c r="I9" s="86">
        <v>36</v>
      </c>
      <c r="J9" s="123">
        <v>80</v>
      </c>
      <c r="K9" s="85">
        <v>1</v>
      </c>
      <c r="L9" s="84">
        <v>36</v>
      </c>
      <c r="M9" s="99">
        <v>80</v>
      </c>
    </row>
    <row r="10" spans="1:14" ht="20.100000000000001" customHeight="1">
      <c r="A10" s="237" t="s">
        <v>51</v>
      </c>
      <c r="B10" s="10">
        <v>55</v>
      </c>
      <c r="C10" s="10">
        <v>12636</v>
      </c>
      <c r="D10" s="96">
        <v>31406</v>
      </c>
      <c r="E10" s="92">
        <v>72</v>
      </c>
      <c r="F10" s="12">
        <v>6435</v>
      </c>
      <c r="G10" s="97">
        <v>13369</v>
      </c>
      <c r="H10" s="94">
        <v>173</v>
      </c>
      <c r="I10" s="11">
        <v>3038</v>
      </c>
      <c r="J10" s="97">
        <v>7323</v>
      </c>
      <c r="K10" s="100">
        <v>300</v>
      </c>
      <c r="L10" s="10">
        <v>22109</v>
      </c>
      <c r="M10" s="96">
        <v>52098</v>
      </c>
    </row>
    <row r="11" spans="1:14" ht="20.100000000000001" customHeight="1">
      <c r="A11" s="6" t="s">
        <v>6</v>
      </c>
      <c r="B11" s="189">
        <v>2</v>
      </c>
      <c r="C11" s="87">
        <v>450</v>
      </c>
      <c r="D11" s="190">
        <v>1723</v>
      </c>
      <c r="E11" s="191">
        <v>8</v>
      </c>
      <c r="F11" s="89">
        <v>411</v>
      </c>
      <c r="G11" s="190">
        <v>1203</v>
      </c>
      <c r="H11" s="192">
        <v>20</v>
      </c>
      <c r="I11" s="87">
        <v>368</v>
      </c>
      <c r="J11" s="190">
        <v>865</v>
      </c>
      <c r="K11" s="88">
        <v>30</v>
      </c>
      <c r="L11" s="87">
        <v>1229</v>
      </c>
      <c r="M11" s="101">
        <v>3791</v>
      </c>
    </row>
    <row r="12" spans="1:14" ht="20.100000000000001" customHeight="1">
      <c r="A12" s="5" t="s">
        <v>7</v>
      </c>
      <c r="B12" s="193">
        <v>3</v>
      </c>
      <c r="C12" s="84">
        <v>820</v>
      </c>
      <c r="D12" s="195">
        <v>2477</v>
      </c>
      <c r="E12" s="196">
        <v>2</v>
      </c>
      <c r="F12" s="197">
        <v>110</v>
      </c>
      <c r="G12" s="198">
        <v>321</v>
      </c>
      <c r="H12" s="199">
        <v>11</v>
      </c>
      <c r="I12" s="197">
        <v>174</v>
      </c>
      <c r="J12" s="200">
        <v>487</v>
      </c>
      <c r="K12" s="85">
        <v>16</v>
      </c>
      <c r="L12" s="84">
        <v>1104</v>
      </c>
      <c r="M12" s="99">
        <v>3285</v>
      </c>
    </row>
    <row r="13" spans="1:14" ht="20.100000000000001" customHeight="1">
      <c r="A13" s="5" t="s">
        <v>8</v>
      </c>
      <c r="B13" s="193">
        <v>1</v>
      </c>
      <c r="C13" s="84">
        <v>120</v>
      </c>
      <c r="D13" s="200">
        <v>368</v>
      </c>
      <c r="E13" s="201">
        <v>2</v>
      </c>
      <c r="F13" s="84">
        <v>41</v>
      </c>
      <c r="G13" s="202">
        <v>206</v>
      </c>
      <c r="H13" s="203">
        <v>9</v>
      </c>
      <c r="I13" s="197">
        <v>73</v>
      </c>
      <c r="J13" s="195">
        <v>233</v>
      </c>
      <c r="K13" s="85">
        <v>12</v>
      </c>
      <c r="L13" s="84">
        <v>234</v>
      </c>
      <c r="M13" s="99">
        <v>807</v>
      </c>
    </row>
    <row r="14" spans="1:14" ht="20.100000000000001" customHeight="1">
      <c r="A14" s="5" t="s">
        <v>9</v>
      </c>
      <c r="B14" s="204">
        <v>2</v>
      </c>
      <c r="C14" s="197">
        <v>188</v>
      </c>
      <c r="D14" s="202">
        <v>692</v>
      </c>
      <c r="E14" s="205">
        <v>4</v>
      </c>
      <c r="F14" s="197">
        <v>223</v>
      </c>
      <c r="G14" s="202">
        <v>658</v>
      </c>
      <c r="H14" s="206">
        <v>13</v>
      </c>
      <c r="I14" s="197">
        <v>265</v>
      </c>
      <c r="J14" s="200">
        <v>612</v>
      </c>
      <c r="K14" s="85">
        <v>19</v>
      </c>
      <c r="L14" s="84">
        <v>676</v>
      </c>
      <c r="M14" s="99">
        <v>1962</v>
      </c>
    </row>
    <row r="15" spans="1:14" ht="20.100000000000001" customHeight="1">
      <c r="A15" s="5" t="s">
        <v>10</v>
      </c>
      <c r="B15" s="207">
        <v>3</v>
      </c>
      <c r="C15" s="84">
        <v>960</v>
      </c>
      <c r="D15" s="195">
        <v>2730</v>
      </c>
      <c r="E15" s="208">
        <v>5</v>
      </c>
      <c r="F15" s="84">
        <v>228</v>
      </c>
      <c r="G15" s="202">
        <v>973</v>
      </c>
      <c r="H15" s="206">
        <v>6</v>
      </c>
      <c r="I15" s="197">
        <v>81</v>
      </c>
      <c r="J15" s="195">
        <v>202</v>
      </c>
      <c r="K15" s="85">
        <v>14</v>
      </c>
      <c r="L15" s="84">
        <v>1269</v>
      </c>
      <c r="M15" s="99">
        <v>3905</v>
      </c>
    </row>
    <row r="16" spans="1:14" ht="20.100000000000001" customHeight="1">
      <c r="A16" s="5" t="s">
        <v>11</v>
      </c>
      <c r="B16" s="200">
        <v>0</v>
      </c>
      <c r="C16" s="197">
        <v>0</v>
      </c>
      <c r="D16" s="200">
        <v>0</v>
      </c>
      <c r="E16" s="209">
        <v>0</v>
      </c>
      <c r="F16" s="197">
        <v>0</v>
      </c>
      <c r="G16" s="202">
        <v>0</v>
      </c>
      <c r="H16" s="201">
        <v>3</v>
      </c>
      <c r="I16" s="84">
        <v>44</v>
      </c>
      <c r="J16" s="195">
        <v>114</v>
      </c>
      <c r="K16" s="85">
        <v>3</v>
      </c>
      <c r="L16" s="84">
        <v>44</v>
      </c>
      <c r="M16" s="99">
        <v>114</v>
      </c>
    </row>
    <row r="17" spans="1:14" ht="20.100000000000001" customHeight="1">
      <c r="A17" s="5" t="s">
        <v>12</v>
      </c>
      <c r="B17" s="193">
        <v>6</v>
      </c>
      <c r="C17" s="84">
        <v>1474</v>
      </c>
      <c r="D17" s="202">
        <v>4647</v>
      </c>
      <c r="E17" s="201">
        <v>11</v>
      </c>
      <c r="F17" s="84">
        <v>498</v>
      </c>
      <c r="G17" s="202">
        <v>1901</v>
      </c>
      <c r="H17" s="199">
        <v>44</v>
      </c>
      <c r="I17" s="197">
        <v>599</v>
      </c>
      <c r="J17" s="200">
        <v>1822</v>
      </c>
      <c r="K17" s="85">
        <v>61</v>
      </c>
      <c r="L17" s="84">
        <v>2571</v>
      </c>
      <c r="M17" s="99">
        <v>8370</v>
      </c>
    </row>
    <row r="18" spans="1:14" ht="20.100000000000001" customHeight="1">
      <c r="A18" s="5" t="s">
        <v>13</v>
      </c>
      <c r="B18" s="210">
        <v>1</v>
      </c>
      <c r="C18" s="197">
        <v>217</v>
      </c>
      <c r="D18" s="195">
        <v>634</v>
      </c>
      <c r="E18" s="196">
        <v>2</v>
      </c>
      <c r="F18" s="197">
        <v>112</v>
      </c>
      <c r="G18" s="202">
        <v>334</v>
      </c>
      <c r="H18" s="208">
        <v>3</v>
      </c>
      <c r="I18" s="84">
        <v>57</v>
      </c>
      <c r="J18" s="195">
        <v>171</v>
      </c>
      <c r="K18" s="85">
        <v>6</v>
      </c>
      <c r="L18" s="84">
        <v>386</v>
      </c>
      <c r="M18" s="99">
        <v>1139</v>
      </c>
    </row>
    <row r="19" spans="1:14" ht="20.100000000000001" customHeight="1">
      <c r="A19" s="5" t="s">
        <v>14</v>
      </c>
      <c r="B19" s="211">
        <v>0</v>
      </c>
      <c r="C19" s="197">
        <v>0</v>
      </c>
      <c r="D19" s="195">
        <v>0</v>
      </c>
      <c r="E19" s="208">
        <v>0</v>
      </c>
      <c r="F19" s="84">
        <v>0</v>
      </c>
      <c r="G19" s="195">
        <v>0</v>
      </c>
      <c r="H19" s="206">
        <v>2</v>
      </c>
      <c r="I19" s="197">
        <v>26</v>
      </c>
      <c r="J19" s="200">
        <v>60</v>
      </c>
      <c r="K19" s="85">
        <v>2</v>
      </c>
      <c r="L19" s="84">
        <v>26</v>
      </c>
      <c r="M19" s="99">
        <v>60</v>
      </c>
      <c r="N19" s="9"/>
    </row>
    <row r="20" spans="1:14" ht="20.100000000000001" customHeight="1">
      <c r="A20" s="5" t="s">
        <v>15</v>
      </c>
      <c r="B20" s="138">
        <v>0</v>
      </c>
      <c r="C20" s="84">
        <v>0</v>
      </c>
      <c r="D20" s="139">
        <v>0</v>
      </c>
      <c r="E20" s="142">
        <v>0</v>
      </c>
      <c r="F20" s="84">
        <v>0</v>
      </c>
      <c r="G20" s="141">
        <v>0</v>
      </c>
      <c r="H20" s="213">
        <v>0</v>
      </c>
      <c r="I20" s="84">
        <v>0</v>
      </c>
      <c r="J20" s="214">
        <v>0</v>
      </c>
      <c r="K20" s="85">
        <v>0</v>
      </c>
      <c r="L20" s="84">
        <v>0</v>
      </c>
      <c r="M20" s="99">
        <v>0</v>
      </c>
    </row>
    <row r="21" spans="1:14" ht="20.100000000000001" customHeight="1">
      <c r="A21" s="237" t="s">
        <v>52</v>
      </c>
      <c r="B21" s="10">
        <v>18</v>
      </c>
      <c r="C21" s="10">
        <v>4229</v>
      </c>
      <c r="D21" s="96">
        <v>13271</v>
      </c>
      <c r="E21" s="93">
        <v>34</v>
      </c>
      <c r="F21" s="10">
        <v>1623</v>
      </c>
      <c r="G21" s="96">
        <v>5596</v>
      </c>
      <c r="H21" s="93">
        <v>111</v>
      </c>
      <c r="I21" s="10">
        <v>1687</v>
      </c>
      <c r="J21" s="96">
        <v>4566</v>
      </c>
      <c r="K21" s="100">
        <v>163</v>
      </c>
      <c r="L21" s="10">
        <v>7539</v>
      </c>
      <c r="M21" s="96">
        <v>23433</v>
      </c>
    </row>
    <row r="22" spans="1:14" ht="20.100000000000001" customHeight="1">
      <c r="A22" s="6" t="s">
        <v>16</v>
      </c>
      <c r="B22" s="138">
        <v>9</v>
      </c>
      <c r="C22" s="89">
        <v>1693</v>
      </c>
      <c r="D22" s="139">
        <v>6181</v>
      </c>
      <c r="E22" s="142">
        <v>11</v>
      </c>
      <c r="F22" s="90">
        <v>1039</v>
      </c>
      <c r="G22" s="141">
        <v>2323</v>
      </c>
      <c r="H22" s="140">
        <v>25</v>
      </c>
      <c r="I22" s="89">
        <v>459</v>
      </c>
      <c r="J22" s="139">
        <v>1108</v>
      </c>
      <c r="K22" s="88">
        <v>45</v>
      </c>
      <c r="L22" s="87">
        <v>3191</v>
      </c>
      <c r="M22" s="101">
        <v>9612</v>
      </c>
    </row>
    <row r="23" spans="1:14" ht="20.100000000000001" customHeight="1">
      <c r="A23" s="5" t="s">
        <v>17</v>
      </c>
      <c r="B23" s="138">
        <v>1</v>
      </c>
      <c r="C23" s="84">
        <v>184</v>
      </c>
      <c r="D23" s="139">
        <v>508</v>
      </c>
      <c r="E23" s="142">
        <v>0</v>
      </c>
      <c r="F23" s="84">
        <v>0</v>
      </c>
      <c r="G23" s="141">
        <v>0</v>
      </c>
      <c r="H23" s="140">
        <v>7</v>
      </c>
      <c r="I23" s="84">
        <v>100</v>
      </c>
      <c r="J23" s="139">
        <v>317</v>
      </c>
      <c r="K23" s="85">
        <v>8</v>
      </c>
      <c r="L23" s="84">
        <v>284</v>
      </c>
      <c r="M23" s="99">
        <v>825</v>
      </c>
    </row>
    <row r="24" spans="1:14" ht="20.100000000000001" customHeight="1">
      <c r="A24" s="5" t="s">
        <v>18</v>
      </c>
      <c r="B24" s="138">
        <v>0</v>
      </c>
      <c r="C24" s="84">
        <v>0</v>
      </c>
      <c r="D24" s="139">
        <v>0</v>
      </c>
      <c r="E24" s="142">
        <v>0</v>
      </c>
      <c r="F24" s="84">
        <v>0</v>
      </c>
      <c r="G24" s="141">
        <v>0</v>
      </c>
      <c r="H24" s="140">
        <v>0</v>
      </c>
      <c r="I24" s="84">
        <v>0</v>
      </c>
      <c r="J24" s="139">
        <v>0</v>
      </c>
      <c r="K24" s="85">
        <v>0</v>
      </c>
      <c r="L24" s="84">
        <v>0</v>
      </c>
      <c r="M24" s="99">
        <v>0</v>
      </c>
    </row>
    <row r="25" spans="1:14" ht="20.100000000000001" customHeight="1">
      <c r="A25" s="5" t="s">
        <v>19</v>
      </c>
      <c r="B25" s="138">
        <v>0</v>
      </c>
      <c r="C25" s="84">
        <v>0</v>
      </c>
      <c r="D25" s="139">
        <v>0</v>
      </c>
      <c r="E25" s="142">
        <v>0</v>
      </c>
      <c r="F25" s="84">
        <v>0</v>
      </c>
      <c r="G25" s="141">
        <v>0</v>
      </c>
      <c r="H25" s="140">
        <v>1</v>
      </c>
      <c r="I25" s="84">
        <v>12</v>
      </c>
      <c r="J25" s="139">
        <v>48</v>
      </c>
      <c r="K25" s="85">
        <v>1</v>
      </c>
      <c r="L25" s="84">
        <v>12</v>
      </c>
      <c r="M25" s="99">
        <v>48</v>
      </c>
    </row>
    <row r="26" spans="1:14" ht="19.5" customHeight="1">
      <c r="A26" s="5" t="s">
        <v>20</v>
      </c>
      <c r="B26" s="138">
        <v>2</v>
      </c>
      <c r="C26" s="84">
        <v>128</v>
      </c>
      <c r="D26" s="139">
        <v>688</v>
      </c>
      <c r="E26" s="142">
        <v>2</v>
      </c>
      <c r="F26" s="84">
        <v>90</v>
      </c>
      <c r="G26" s="141">
        <v>312</v>
      </c>
      <c r="H26" s="140">
        <v>10</v>
      </c>
      <c r="I26" s="84">
        <v>123</v>
      </c>
      <c r="J26" s="139">
        <v>443</v>
      </c>
      <c r="K26" s="85">
        <v>14</v>
      </c>
      <c r="L26" s="84">
        <v>341</v>
      </c>
      <c r="M26" s="99">
        <v>1443</v>
      </c>
    </row>
    <row r="27" spans="1:14" ht="20.100000000000001" customHeight="1">
      <c r="A27" s="112" t="s">
        <v>40</v>
      </c>
      <c r="B27" s="138">
        <v>7</v>
      </c>
      <c r="C27" s="84">
        <v>1410</v>
      </c>
      <c r="D27" s="139">
        <v>4930</v>
      </c>
      <c r="E27" s="142">
        <v>8</v>
      </c>
      <c r="F27" s="84">
        <v>357</v>
      </c>
      <c r="G27" s="141">
        <v>1605</v>
      </c>
      <c r="H27" s="140">
        <v>15</v>
      </c>
      <c r="I27" s="84">
        <v>204</v>
      </c>
      <c r="J27" s="139">
        <v>634</v>
      </c>
      <c r="K27" s="85">
        <v>30</v>
      </c>
      <c r="L27" s="84">
        <v>1971</v>
      </c>
      <c r="M27" s="99">
        <v>7169</v>
      </c>
    </row>
    <row r="28" spans="1:14" ht="20.100000000000001" customHeight="1">
      <c r="A28" s="5" t="s">
        <v>21</v>
      </c>
      <c r="B28" s="138">
        <v>16</v>
      </c>
      <c r="C28" s="84">
        <v>4593</v>
      </c>
      <c r="D28" s="139">
        <v>15326</v>
      </c>
      <c r="E28" s="142">
        <v>10</v>
      </c>
      <c r="F28" s="84">
        <v>518</v>
      </c>
      <c r="G28" s="141">
        <v>1590</v>
      </c>
      <c r="H28" s="140">
        <v>32</v>
      </c>
      <c r="I28" s="84">
        <v>379</v>
      </c>
      <c r="J28" s="139">
        <v>1205</v>
      </c>
      <c r="K28" s="85">
        <v>58</v>
      </c>
      <c r="L28" s="84">
        <v>5490</v>
      </c>
      <c r="M28" s="99">
        <v>18121</v>
      </c>
    </row>
    <row r="29" spans="1:14" ht="20.100000000000001" customHeight="1">
      <c r="A29" s="5" t="s">
        <v>22</v>
      </c>
      <c r="B29" s="138">
        <v>0</v>
      </c>
      <c r="C29" s="84">
        <v>0</v>
      </c>
      <c r="D29" s="139">
        <v>0</v>
      </c>
      <c r="E29" s="142">
        <v>1</v>
      </c>
      <c r="F29" s="84">
        <v>30</v>
      </c>
      <c r="G29" s="141">
        <v>120</v>
      </c>
      <c r="H29" s="140">
        <v>1</v>
      </c>
      <c r="I29" s="84">
        <v>19</v>
      </c>
      <c r="J29" s="139">
        <v>38</v>
      </c>
      <c r="K29" s="85">
        <v>2</v>
      </c>
      <c r="L29" s="84">
        <v>49</v>
      </c>
      <c r="M29" s="99">
        <v>158</v>
      </c>
    </row>
    <row r="30" spans="1:14" ht="20.100000000000001" customHeight="1">
      <c r="A30" s="5" t="s">
        <v>23</v>
      </c>
      <c r="B30" s="138">
        <v>1</v>
      </c>
      <c r="C30" s="84">
        <v>121</v>
      </c>
      <c r="D30" s="139">
        <v>304</v>
      </c>
      <c r="E30" s="142">
        <v>0</v>
      </c>
      <c r="F30" s="84">
        <v>0</v>
      </c>
      <c r="G30" s="141">
        <v>0</v>
      </c>
      <c r="H30" s="140">
        <v>7</v>
      </c>
      <c r="I30" s="84">
        <v>65</v>
      </c>
      <c r="J30" s="139">
        <v>248</v>
      </c>
      <c r="K30" s="85">
        <v>8</v>
      </c>
      <c r="L30" s="84">
        <v>186</v>
      </c>
      <c r="M30" s="99">
        <v>552</v>
      </c>
    </row>
    <row r="31" spans="1:14" ht="20.100000000000001" customHeight="1">
      <c r="A31" s="237" t="s">
        <v>53</v>
      </c>
      <c r="B31" s="13">
        <v>36</v>
      </c>
      <c r="C31" s="13">
        <v>8129</v>
      </c>
      <c r="D31" s="98">
        <v>27937</v>
      </c>
      <c r="E31" s="95">
        <v>32</v>
      </c>
      <c r="F31" s="13">
        <v>2034</v>
      </c>
      <c r="G31" s="98">
        <v>5950</v>
      </c>
      <c r="H31" s="95">
        <v>98</v>
      </c>
      <c r="I31" s="13">
        <v>1361</v>
      </c>
      <c r="J31" s="98">
        <v>4041</v>
      </c>
      <c r="K31" s="102">
        <v>166</v>
      </c>
      <c r="L31" s="13">
        <v>11524</v>
      </c>
      <c r="M31" s="98">
        <v>37928</v>
      </c>
    </row>
    <row r="32" spans="1:14" ht="20.100000000000001" customHeight="1">
      <c r="A32" s="6" t="s">
        <v>24</v>
      </c>
      <c r="B32" s="215">
        <v>10</v>
      </c>
      <c r="C32" s="87">
        <v>1979</v>
      </c>
      <c r="D32" s="216">
        <v>5575</v>
      </c>
      <c r="E32" s="191">
        <v>23</v>
      </c>
      <c r="F32" s="90">
        <v>1724</v>
      </c>
      <c r="G32" s="217">
        <v>4164</v>
      </c>
      <c r="H32" s="218">
        <v>78</v>
      </c>
      <c r="I32" s="87">
        <v>1291</v>
      </c>
      <c r="J32" s="216">
        <v>2921</v>
      </c>
      <c r="K32" s="103">
        <v>111</v>
      </c>
      <c r="L32" s="90">
        <v>4994</v>
      </c>
      <c r="M32" s="104">
        <v>12660</v>
      </c>
    </row>
    <row r="33" spans="1:13" ht="20.100000000000001" customHeight="1">
      <c r="A33" s="5" t="s">
        <v>25</v>
      </c>
      <c r="B33" s="138">
        <v>0</v>
      </c>
      <c r="C33" s="84">
        <v>0</v>
      </c>
      <c r="D33" s="214">
        <v>0</v>
      </c>
      <c r="E33" s="213">
        <v>0</v>
      </c>
      <c r="F33" s="84">
        <v>0</v>
      </c>
      <c r="G33" s="214">
        <v>0</v>
      </c>
      <c r="H33" s="213">
        <v>0</v>
      </c>
      <c r="I33" s="84">
        <v>0</v>
      </c>
      <c r="J33" s="214">
        <v>0</v>
      </c>
      <c r="K33" s="85">
        <v>0</v>
      </c>
      <c r="L33" s="84">
        <v>0</v>
      </c>
      <c r="M33" s="99">
        <v>0</v>
      </c>
    </row>
    <row r="34" spans="1:13" ht="20.100000000000001" customHeight="1">
      <c r="A34" s="237" t="s">
        <v>54</v>
      </c>
      <c r="B34" s="10">
        <v>10</v>
      </c>
      <c r="C34" s="10">
        <v>1979</v>
      </c>
      <c r="D34" s="96">
        <v>5575</v>
      </c>
      <c r="E34" s="93">
        <v>23</v>
      </c>
      <c r="F34" s="10">
        <v>1724</v>
      </c>
      <c r="G34" s="96">
        <v>4164</v>
      </c>
      <c r="H34" s="93">
        <v>78</v>
      </c>
      <c r="I34" s="10">
        <v>1291</v>
      </c>
      <c r="J34" s="96">
        <v>2921</v>
      </c>
      <c r="K34" s="100">
        <v>111</v>
      </c>
      <c r="L34" s="10">
        <v>4994</v>
      </c>
      <c r="M34" s="96">
        <v>12660</v>
      </c>
    </row>
    <row r="35" spans="1:13" ht="20.100000000000001" customHeight="1">
      <c r="A35" s="6" t="s">
        <v>26</v>
      </c>
      <c r="B35" s="215">
        <v>10</v>
      </c>
      <c r="C35" s="87">
        <v>2147</v>
      </c>
      <c r="D35" s="190">
        <v>6682</v>
      </c>
      <c r="E35" s="192">
        <v>23</v>
      </c>
      <c r="F35" s="90">
        <v>1691</v>
      </c>
      <c r="G35" s="190">
        <v>3798</v>
      </c>
      <c r="H35" s="218">
        <v>49</v>
      </c>
      <c r="I35" s="87">
        <v>856</v>
      </c>
      <c r="J35" s="216">
        <v>2098</v>
      </c>
      <c r="K35" s="85">
        <v>82</v>
      </c>
      <c r="L35" s="84">
        <v>4694</v>
      </c>
      <c r="M35" s="99">
        <v>12578</v>
      </c>
    </row>
    <row r="36" spans="1:13" ht="20.100000000000001" customHeight="1">
      <c r="A36" s="5" t="s">
        <v>27</v>
      </c>
      <c r="B36" s="194">
        <v>2</v>
      </c>
      <c r="C36" s="84">
        <v>287</v>
      </c>
      <c r="D36" s="200">
        <v>981</v>
      </c>
      <c r="E36" s="199">
        <v>4</v>
      </c>
      <c r="F36" s="197">
        <v>175</v>
      </c>
      <c r="G36" s="195">
        <v>616</v>
      </c>
      <c r="H36" s="206">
        <v>29</v>
      </c>
      <c r="I36" s="84">
        <v>290</v>
      </c>
      <c r="J36" s="195">
        <v>703</v>
      </c>
      <c r="K36" s="85">
        <v>35</v>
      </c>
      <c r="L36" s="84">
        <v>752</v>
      </c>
      <c r="M36" s="99">
        <v>2300</v>
      </c>
    </row>
    <row r="37" spans="1:13" ht="20.100000000000001" customHeight="1">
      <c r="A37" s="5" t="s">
        <v>28</v>
      </c>
      <c r="B37" s="138">
        <v>0</v>
      </c>
      <c r="C37" s="84">
        <v>0</v>
      </c>
      <c r="D37" s="214">
        <v>0</v>
      </c>
      <c r="E37" s="142">
        <v>0</v>
      </c>
      <c r="F37" s="84">
        <v>0</v>
      </c>
      <c r="G37" s="141">
        <v>0</v>
      </c>
      <c r="H37" s="213">
        <v>8</v>
      </c>
      <c r="I37" s="84">
        <v>57</v>
      </c>
      <c r="J37" s="139">
        <v>119</v>
      </c>
      <c r="K37" s="85">
        <v>8</v>
      </c>
      <c r="L37" s="84">
        <v>57</v>
      </c>
      <c r="M37" s="99">
        <v>119</v>
      </c>
    </row>
    <row r="38" spans="1:13" ht="20.100000000000001" customHeight="1">
      <c r="A38" s="237" t="s">
        <v>55</v>
      </c>
      <c r="B38" s="10">
        <v>12</v>
      </c>
      <c r="C38" s="10">
        <v>2434</v>
      </c>
      <c r="D38" s="96">
        <v>7663</v>
      </c>
      <c r="E38" s="93">
        <v>27</v>
      </c>
      <c r="F38" s="10">
        <v>1866</v>
      </c>
      <c r="G38" s="96">
        <v>4414</v>
      </c>
      <c r="H38" s="93">
        <v>86</v>
      </c>
      <c r="I38" s="10">
        <v>1203</v>
      </c>
      <c r="J38" s="96">
        <v>2920</v>
      </c>
      <c r="K38" s="100">
        <v>125</v>
      </c>
      <c r="L38" s="10">
        <v>5503</v>
      </c>
      <c r="M38" s="96">
        <v>14997</v>
      </c>
    </row>
    <row r="39" spans="1:13" ht="20.100000000000001" customHeight="1">
      <c r="A39" s="4" t="s">
        <v>29</v>
      </c>
      <c r="B39" s="189">
        <v>1</v>
      </c>
      <c r="C39" s="87">
        <v>142</v>
      </c>
      <c r="D39" s="216">
        <v>1006</v>
      </c>
      <c r="E39" s="191">
        <v>3</v>
      </c>
      <c r="F39" s="89">
        <v>212</v>
      </c>
      <c r="G39" s="217">
        <v>545</v>
      </c>
      <c r="H39" s="192">
        <v>4</v>
      </c>
      <c r="I39" s="87">
        <v>23</v>
      </c>
      <c r="J39" s="216">
        <v>58</v>
      </c>
      <c r="K39" s="85">
        <v>8</v>
      </c>
      <c r="L39" s="84">
        <v>377</v>
      </c>
      <c r="M39" s="99">
        <v>1609</v>
      </c>
    </row>
    <row r="40" spans="1:13" ht="20.100000000000001" customHeight="1">
      <c r="A40" s="5" t="s">
        <v>30</v>
      </c>
      <c r="B40" s="193">
        <v>0</v>
      </c>
      <c r="C40" s="84">
        <v>0</v>
      </c>
      <c r="D40" s="202">
        <v>0</v>
      </c>
      <c r="E40" s="201">
        <v>1</v>
      </c>
      <c r="F40" s="84">
        <v>57</v>
      </c>
      <c r="G40" s="202">
        <v>136</v>
      </c>
      <c r="H40" s="203">
        <v>2</v>
      </c>
      <c r="I40" s="197">
        <v>15</v>
      </c>
      <c r="J40" s="195">
        <v>50</v>
      </c>
      <c r="K40" s="85">
        <v>3</v>
      </c>
      <c r="L40" s="84">
        <v>72</v>
      </c>
      <c r="M40" s="99">
        <v>186</v>
      </c>
    </row>
    <row r="41" spans="1:13" ht="20.100000000000001" customHeight="1">
      <c r="A41" s="5" t="s">
        <v>31</v>
      </c>
      <c r="B41" s="193">
        <v>0</v>
      </c>
      <c r="C41" s="84">
        <v>0</v>
      </c>
      <c r="D41" s="202">
        <v>0</v>
      </c>
      <c r="E41" s="208">
        <v>0</v>
      </c>
      <c r="F41" s="84">
        <v>0</v>
      </c>
      <c r="G41" s="195">
        <v>0</v>
      </c>
      <c r="H41" s="208">
        <v>14</v>
      </c>
      <c r="I41" s="84">
        <v>97</v>
      </c>
      <c r="J41" s="200">
        <v>305</v>
      </c>
      <c r="K41" s="85">
        <v>14</v>
      </c>
      <c r="L41" s="84">
        <v>97</v>
      </c>
      <c r="M41" s="99">
        <v>305</v>
      </c>
    </row>
    <row r="42" spans="1:13" ht="20.100000000000001" customHeight="1">
      <c r="A42" s="5" t="s">
        <v>32</v>
      </c>
      <c r="B42" s="210">
        <v>0</v>
      </c>
      <c r="C42" s="197">
        <v>0</v>
      </c>
      <c r="D42" s="195">
        <v>0</v>
      </c>
      <c r="E42" s="209">
        <v>0</v>
      </c>
      <c r="F42" s="197">
        <v>0</v>
      </c>
      <c r="G42" s="198">
        <v>0</v>
      </c>
      <c r="H42" s="205">
        <v>0</v>
      </c>
      <c r="I42" s="197">
        <v>0</v>
      </c>
      <c r="J42" s="195">
        <v>0</v>
      </c>
      <c r="K42" s="85">
        <v>0</v>
      </c>
      <c r="L42" s="84">
        <v>0</v>
      </c>
      <c r="M42" s="99">
        <v>0</v>
      </c>
    </row>
    <row r="43" spans="1:13" ht="20.100000000000001" customHeight="1">
      <c r="A43" s="5" t="s">
        <v>33</v>
      </c>
      <c r="B43" s="193">
        <v>0</v>
      </c>
      <c r="C43" s="84">
        <v>0</v>
      </c>
      <c r="D43" s="195">
        <v>0</v>
      </c>
      <c r="E43" s="201">
        <v>0</v>
      </c>
      <c r="F43" s="84">
        <v>0</v>
      </c>
      <c r="G43" s="202">
        <v>0</v>
      </c>
      <c r="H43" s="208">
        <v>0</v>
      </c>
      <c r="I43" s="84">
        <v>0</v>
      </c>
      <c r="J43" s="195">
        <v>0</v>
      </c>
      <c r="K43" s="85">
        <v>0</v>
      </c>
      <c r="L43" s="84">
        <v>0</v>
      </c>
      <c r="M43" s="99">
        <v>0</v>
      </c>
    </row>
    <row r="44" spans="1:13" ht="20.100000000000001" customHeight="1">
      <c r="A44" s="5" t="s">
        <v>34</v>
      </c>
      <c r="B44" s="210">
        <v>0</v>
      </c>
      <c r="C44" s="197">
        <v>0</v>
      </c>
      <c r="D44" s="200">
        <v>0</v>
      </c>
      <c r="E44" s="196">
        <v>1</v>
      </c>
      <c r="F44" s="197">
        <v>51</v>
      </c>
      <c r="G44" s="202">
        <v>100</v>
      </c>
      <c r="H44" s="203">
        <v>4</v>
      </c>
      <c r="I44" s="197">
        <v>75</v>
      </c>
      <c r="J44" s="195">
        <v>130</v>
      </c>
      <c r="K44" s="85">
        <v>5</v>
      </c>
      <c r="L44" s="84">
        <v>126</v>
      </c>
      <c r="M44" s="99">
        <v>230</v>
      </c>
    </row>
    <row r="45" spans="1:13" ht="20.100000000000001" customHeight="1">
      <c r="A45" s="5" t="s">
        <v>35</v>
      </c>
      <c r="B45" s="193">
        <v>0</v>
      </c>
      <c r="C45" s="84">
        <v>0</v>
      </c>
      <c r="D45" s="195">
        <v>0</v>
      </c>
      <c r="E45" s="208">
        <v>0</v>
      </c>
      <c r="F45" s="84">
        <v>0</v>
      </c>
      <c r="G45" s="202">
        <v>0</v>
      </c>
      <c r="H45" s="208">
        <v>1</v>
      </c>
      <c r="I45" s="84">
        <v>45</v>
      </c>
      <c r="J45" s="219">
        <v>70</v>
      </c>
      <c r="K45" s="85">
        <v>1</v>
      </c>
      <c r="L45" s="84">
        <v>45</v>
      </c>
      <c r="M45" s="99">
        <v>70</v>
      </c>
    </row>
    <row r="46" spans="1:13" ht="20.100000000000001" customHeight="1">
      <c r="A46" s="5" t="s">
        <v>36</v>
      </c>
      <c r="B46" s="210">
        <v>0</v>
      </c>
      <c r="C46" s="197">
        <v>0</v>
      </c>
      <c r="D46" s="200">
        <v>0</v>
      </c>
      <c r="E46" s="205">
        <v>1</v>
      </c>
      <c r="F46" s="197">
        <v>33</v>
      </c>
      <c r="G46" s="195">
        <v>116</v>
      </c>
      <c r="H46" s="203">
        <v>4</v>
      </c>
      <c r="I46" s="197">
        <v>58</v>
      </c>
      <c r="J46" s="200">
        <v>142</v>
      </c>
      <c r="K46" s="85">
        <v>5</v>
      </c>
      <c r="L46" s="84">
        <v>91</v>
      </c>
      <c r="M46" s="99">
        <v>258</v>
      </c>
    </row>
    <row r="47" spans="1:13" ht="20.100000000000001" customHeight="1">
      <c r="A47" s="5" t="s">
        <v>37</v>
      </c>
      <c r="B47" s="210">
        <v>0</v>
      </c>
      <c r="C47" s="197">
        <v>0</v>
      </c>
      <c r="D47" s="195">
        <v>0</v>
      </c>
      <c r="E47" s="208">
        <v>0</v>
      </c>
      <c r="F47" s="84">
        <v>0</v>
      </c>
      <c r="G47" s="195">
        <v>0</v>
      </c>
      <c r="H47" s="208">
        <v>3</v>
      </c>
      <c r="I47" s="84">
        <v>52</v>
      </c>
      <c r="J47" s="195">
        <v>101</v>
      </c>
      <c r="K47" s="85">
        <v>3</v>
      </c>
      <c r="L47" s="84">
        <v>52</v>
      </c>
      <c r="M47" s="99">
        <v>101</v>
      </c>
    </row>
    <row r="48" spans="1:13" ht="20.100000000000001" customHeight="1">
      <c r="A48" s="5" t="s">
        <v>38</v>
      </c>
      <c r="B48" s="212">
        <v>0</v>
      </c>
      <c r="C48" s="84">
        <v>0</v>
      </c>
      <c r="D48" s="139">
        <v>0</v>
      </c>
      <c r="E48" s="142">
        <v>0</v>
      </c>
      <c r="F48" s="84">
        <v>0</v>
      </c>
      <c r="G48" s="141">
        <v>0</v>
      </c>
      <c r="H48" s="213">
        <v>4</v>
      </c>
      <c r="I48" s="84">
        <v>58</v>
      </c>
      <c r="J48" s="214">
        <v>147</v>
      </c>
      <c r="K48" s="85">
        <v>4</v>
      </c>
      <c r="L48" s="84">
        <v>58</v>
      </c>
      <c r="M48" s="99">
        <v>147</v>
      </c>
    </row>
    <row r="49" spans="1:13" ht="20.100000000000001" customHeight="1">
      <c r="A49" s="237" t="s">
        <v>56</v>
      </c>
      <c r="B49" s="10">
        <v>1</v>
      </c>
      <c r="C49" s="10">
        <v>142</v>
      </c>
      <c r="D49" s="107">
        <v>1006</v>
      </c>
      <c r="E49" s="100">
        <v>6</v>
      </c>
      <c r="F49" s="10">
        <v>353</v>
      </c>
      <c r="G49" s="96">
        <v>897</v>
      </c>
      <c r="H49" s="93">
        <v>36</v>
      </c>
      <c r="I49" s="10">
        <v>423</v>
      </c>
      <c r="J49" s="96">
        <v>1003</v>
      </c>
      <c r="K49" s="100">
        <v>43</v>
      </c>
      <c r="L49" s="10">
        <v>918</v>
      </c>
      <c r="M49" s="96">
        <v>2906</v>
      </c>
    </row>
    <row r="50" spans="1:13" ht="47.25" customHeight="1">
      <c r="A50" s="238" t="s">
        <v>57</v>
      </c>
      <c r="B50" s="2">
        <v>132</v>
      </c>
      <c r="C50" s="2">
        <v>29549</v>
      </c>
      <c r="D50" s="2">
        <v>86858</v>
      </c>
      <c r="E50" s="109">
        <v>194</v>
      </c>
      <c r="F50" s="2">
        <v>14035</v>
      </c>
      <c r="G50" s="110">
        <v>34390</v>
      </c>
      <c r="H50" s="108">
        <v>582</v>
      </c>
      <c r="I50" s="2">
        <v>9003</v>
      </c>
      <c r="J50" s="111">
        <v>22774</v>
      </c>
      <c r="K50" s="108">
        <v>908</v>
      </c>
      <c r="L50" s="2">
        <v>52587</v>
      </c>
      <c r="M50" s="111">
        <v>144022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AO55"/>
  <sheetViews>
    <sheetView showGridLines="0" view="pageBreakPreview" zoomScale="90" zoomScaleNormal="100" zoomScaleSheetLayoutView="90" workbookViewId="0">
      <pane xSplit="1" ySplit="3" topLeftCell="B24" activePane="bottomRight" state="frozen"/>
      <selection activeCell="B146" sqref="B146"/>
      <selection pane="topRight" activeCell="B146" sqref="B146"/>
      <selection pane="bottomLeft" activeCell="B146" sqref="B146"/>
      <selection pane="bottomRight" sqref="A1:AN51"/>
    </sheetView>
  </sheetViews>
  <sheetFormatPr defaultColWidth="9" defaultRowHeight="13.2"/>
  <cols>
    <col min="1" max="1" width="9.77734375" style="48" customWidth="1"/>
    <col min="2" max="2" width="5.44140625" style="48" customWidth="1"/>
    <col min="3" max="4" width="7.44140625" style="48" bestFit="1" customWidth="1"/>
    <col min="5" max="40" width="5.44140625" style="48" customWidth="1"/>
    <col min="41" max="41" width="0.77734375" style="48" customWidth="1"/>
    <col min="42" max="16384" width="9" style="48"/>
  </cols>
  <sheetData>
    <row r="1" spans="1:41" ht="15.75" customHeight="1">
      <c r="A1" s="239"/>
      <c r="B1" s="262" t="s">
        <v>62</v>
      </c>
      <c r="C1" s="263"/>
      <c r="D1" s="263"/>
      <c r="E1" s="263"/>
      <c r="F1" s="263"/>
      <c r="G1" s="263"/>
      <c r="H1" s="263"/>
      <c r="I1" s="263"/>
      <c r="J1" s="264"/>
      <c r="K1" s="262" t="s">
        <v>65</v>
      </c>
      <c r="L1" s="263"/>
      <c r="M1" s="263"/>
      <c r="N1" s="263"/>
      <c r="O1" s="263"/>
      <c r="P1" s="263"/>
      <c r="Q1" s="263"/>
      <c r="R1" s="263"/>
      <c r="S1" s="264"/>
      <c r="T1" s="262" t="s">
        <v>63</v>
      </c>
      <c r="U1" s="263"/>
      <c r="V1" s="263"/>
      <c r="W1" s="263"/>
      <c r="X1" s="263"/>
      <c r="Y1" s="263"/>
      <c r="Z1" s="263"/>
      <c r="AA1" s="263"/>
      <c r="AB1" s="264"/>
      <c r="AC1" s="262" t="s">
        <v>64</v>
      </c>
      <c r="AD1" s="263"/>
      <c r="AE1" s="263"/>
      <c r="AF1" s="263"/>
      <c r="AG1" s="263"/>
      <c r="AH1" s="263"/>
      <c r="AI1" s="263"/>
      <c r="AJ1" s="263"/>
      <c r="AK1" s="264"/>
      <c r="AL1" s="256" t="s">
        <v>48</v>
      </c>
      <c r="AM1" s="257"/>
      <c r="AN1" s="258"/>
    </row>
    <row r="2" spans="1:41" ht="15.75" customHeight="1">
      <c r="A2" s="248"/>
      <c r="B2" s="265" t="s">
        <v>66</v>
      </c>
      <c r="C2" s="266"/>
      <c r="D2" s="267"/>
      <c r="E2" s="268" t="s">
        <v>67</v>
      </c>
      <c r="F2" s="266"/>
      <c r="G2" s="267"/>
      <c r="H2" s="268" t="s">
        <v>68</v>
      </c>
      <c r="I2" s="266"/>
      <c r="J2" s="269"/>
      <c r="K2" s="265" t="s">
        <v>66</v>
      </c>
      <c r="L2" s="266"/>
      <c r="M2" s="267"/>
      <c r="N2" s="268" t="s">
        <v>67</v>
      </c>
      <c r="O2" s="266"/>
      <c r="P2" s="267"/>
      <c r="Q2" s="268" t="s">
        <v>68</v>
      </c>
      <c r="R2" s="266"/>
      <c r="S2" s="269"/>
      <c r="T2" s="265" t="s">
        <v>66</v>
      </c>
      <c r="U2" s="266"/>
      <c r="V2" s="267"/>
      <c r="W2" s="268" t="s">
        <v>67</v>
      </c>
      <c r="X2" s="266"/>
      <c r="Y2" s="267"/>
      <c r="Z2" s="268" t="s">
        <v>68</v>
      </c>
      <c r="AA2" s="266"/>
      <c r="AB2" s="269"/>
      <c r="AC2" s="265" t="s">
        <v>66</v>
      </c>
      <c r="AD2" s="266"/>
      <c r="AE2" s="267"/>
      <c r="AF2" s="268" t="s">
        <v>67</v>
      </c>
      <c r="AG2" s="266"/>
      <c r="AH2" s="267"/>
      <c r="AI2" s="268" t="s">
        <v>68</v>
      </c>
      <c r="AJ2" s="266"/>
      <c r="AK2" s="269"/>
      <c r="AL2" s="259"/>
      <c r="AM2" s="260"/>
      <c r="AN2" s="261"/>
    </row>
    <row r="3" spans="1:41" ht="24" customHeight="1">
      <c r="A3" s="249"/>
      <c r="B3" s="236" t="s">
        <v>49</v>
      </c>
      <c r="C3" s="236" t="s">
        <v>50</v>
      </c>
      <c r="D3" s="234" t="s">
        <v>61</v>
      </c>
      <c r="E3" s="236" t="s">
        <v>49</v>
      </c>
      <c r="F3" s="236" t="s">
        <v>50</v>
      </c>
      <c r="G3" s="234" t="s">
        <v>61</v>
      </c>
      <c r="H3" s="236" t="s">
        <v>49</v>
      </c>
      <c r="I3" s="236" t="s">
        <v>50</v>
      </c>
      <c r="J3" s="234" t="s">
        <v>61</v>
      </c>
      <c r="K3" s="236" t="s">
        <v>49</v>
      </c>
      <c r="L3" s="236" t="s">
        <v>50</v>
      </c>
      <c r="M3" s="234" t="s">
        <v>61</v>
      </c>
      <c r="N3" s="236" t="s">
        <v>49</v>
      </c>
      <c r="O3" s="236" t="s">
        <v>50</v>
      </c>
      <c r="P3" s="234" t="s">
        <v>61</v>
      </c>
      <c r="Q3" s="236" t="s">
        <v>49</v>
      </c>
      <c r="R3" s="236" t="s">
        <v>50</v>
      </c>
      <c r="S3" s="234" t="s">
        <v>61</v>
      </c>
      <c r="T3" s="236" t="s">
        <v>49</v>
      </c>
      <c r="U3" s="236" t="s">
        <v>50</v>
      </c>
      <c r="V3" s="234" t="s">
        <v>61</v>
      </c>
      <c r="W3" s="236" t="s">
        <v>49</v>
      </c>
      <c r="X3" s="236" t="s">
        <v>50</v>
      </c>
      <c r="Y3" s="234" t="s">
        <v>61</v>
      </c>
      <c r="Z3" s="236" t="s">
        <v>49</v>
      </c>
      <c r="AA3" s="236" t="s">
        <v>50</v>
      </c>
      <c r="AB3" s="234" t="s">
        <v>61</v>
      </c>
      <c r="AC3" s="236" t="s">
        <v>49</v>
      </c>
      <c r="AD3" s="236" t="s">
        <v>50</v>
      </c>
      <c r="AE3" s="234" t="s">
        <v>61</v>
      </c>
      <c r="AF3" s="236" t="s">
        <v>49</v>
      </c>
      <c r="AG3" s="236" t="s">
        <v>50</v>
      </c>
      <c r="AH3" s="234" t="s">
        <v>61</v>
      </c>
      <c r="AI3" s="236" t="s">
        <v>49</v>
      </c>
      <c r="AJ3" s="236" t="s">
        <v>50</v>
      </c>
      <c r="AK3" s="234" t="s">
        <v>61</v>
      </c>
      <c r="AL3" s="236" t="s">
        <v>49</v>
      </c>
      <c r="AM3" s="236" t="s">
        <v>50</v>
      </c>
      <c r="AN3" s="234" t="s">
        <v>61</v>
      </c>
      <c r="AO3" s="220"/>
    </row>
    <row r="4" spans="1:41" ht="16.5" customHeight="1">
      <c r="A4" s="68" t="s">
        <v>39</v>
      </c>
      <c r="B4" s="119">
        <v>0</v>
      </c>
      <c r="C4" s="118">
        <v>0</v>
      </c>
      <c r="D4" s="118">
        <v>0</v>
      </c>
      <c r="E4" s="118">
        <v>0</v>
      </c>
      <c r="F4" s="118">
        <v>0</v>
      </c>
      <c r="G4" s="118">
        <v>0</v>
      </c>
      <c r="H4" s="118">
        <v>0</v>
      </c>
      <c r="I4" s="118">
        <v>0</v>
      </c>
      <c r="J4" s="117">
        <v>0</v>
      </c>
      <c r="K4" s="119">
        <v>27</v>
      </c>
      <c r="L4" s="118">
        <v>5540</v>
      </c>
      <c r="M4" s="118">
        <v>12839</v>
      </c>
      <c r="N4" s="118">
        <v>60</v>
      </c>
      <c r="O4" s="118">
        <v>5307</v>
      </c>
      <c r="P4" s="118">
        <v>10744</v>
      </c>
      <c r="Q4" s="118">
        <v>154</v>
      </c>
      <c r="R4" s="118">
        <v>2760</v>
      </c>
      <c r="S4" s="117">
        <v>6535</v>
      </c>
      <c r="T4" s="119">
        <v>24</v>
      </c>
      <c r="U4" s="118">
        <v>5906</v>
      </c>
      <c r="V4" s="118">
        <v>15067</v>
      </c>
      <c r="W4" s="118">
        <v>10</v>
      </c>
      <c r="X4" s="118">
        <v>908</v>
      </c>
      <c r="Y4" s="118">
        <v>2269</v>
      </c>
      <c r="Z4" s="118">
        <v>2</v>
      </c>
      <c r="AA4" s="118">
        <v>15</v>
      </c>
      <c r="AB4" s="117">
        <v>48</v>
      </c>
      <c r="AC4" s="119">
        <v>0</v>
      </c>
      <c r="AD4" s="118">
        <v>0</v>
      </c>
      <c r="AE4" s="118">
        <v>0</v>
      </c>
      <c r="AF4" s="118">
        <v>0</v>
      </c>
      <c r="AG4" s="118">
        <v>0</v>
      </c>
      <c r="AH4" s="118">
        <v>0</v>
      </c>
      <c r="AI4" s="118">
        <v>1</v>
      </c>
      <c r="AJ4" s="118">
        <v>12</v>
      </c>
      <c r="AK4" s="117">
        <v>12</v>
      </c>
      <c r="AL4" s="51">
        <v>278</v>
      </c>
      <c r="AM4" s="52">
        <v>20448</v>
      </c>
      <c r="AN4" s="53">
        <v>47514</v>
      </c>
      <c r="AO4" s="220"/>
    </row>
    <row r="5" spans="1:41" ht="16.5" customHeight="1">
      <c r="A5" s="5" t="s">
        <v>0</v>
      </c>
      <c r="B5" s="119">
        <v>2</v>
      </c>
      <c r="C5" s="118">
        <v>938</v>
      </c>
      <c r="D5" s="118">
        <v>2556</v>
      </c>
      <c r="E5" s="118">
        <v>0</v>
      </c>
      <c r="F5" s="118">
        <v>0</v>
      </c>
      <c r="G5" s="118">
        <v>0</v>
      </c>
      <c r="H5" s="118">
        <v>0</v>
      </c>
      <c r="I5" s="118">
        <v>0</v>
      </c>
      <c r="J5" s="117">
        <v>0</v>
      </c>
      <c r="K5" s="119">
        <v>0</v>
      </c>
      <c r="L5" s="118">
        <v>0</v>
      </c>
      <c r="M5" s="118">
        <v>0</v>
      </c>
      <c r="N5" s="118">
        <v>0</v>
      </c>
      <c r="O5" s="118">
        <v>0</v>
      </c>
      <c r="P5" s="118">
        <v>0</v>
      </c>
      <c r="Q5" s="118">
        <v>5</v>
      </c>
      <c r="R5" s="118">
        <v>108</v>
      </c>
      <c r="S5" s="117">
        <v>282</v>
      </c>
      <c r="T5" s="119">
        <v>0</v>
      </c>
      <c r="U5" s="118">
        <v>0</v>
      </c>
      <c r="V5" s="118">
        <v>0</v>
      </c>
      <c r="W5" s="118">
        <v>0</v>
      </c>
      <c r="X5" s="118">
        <v>0</v>
      </c>
      <c r="Y5" s="118">
        <v>0</v>
      </c>
      <c r="Z5" s="118">
        <v>0</v>
      </c>
      <c r="AA5" s="118">
        <v>0</v>
      </c>
      <c r="AB5" s="117">
        <v>0</v>
      </c>
      <c r="AC5" s="119">
        <v>0</v>
      </c>
      <c r="AD5" s="118">
        <v>0</v>
      </c>
      <c r="AE5" s="118">
        <v>0</v>
      </c>
      <c r="AF5" s="118">
        <v>0</v>
      </c>
      <c r="AG5" s="118">
        <v>0</v>
      </c>
      <c r="AH5" s="118">
        <v>0</v>
      </c>
      <c r="AI5" s="118">
        <v>0</v>
      </c>
      <c r="AJ5" s="118">
        <v>0</v>
      </c>
      <c r="AK5" s="117">
        <v>0</v>
      </c>
      <c r="AL5" s="51">
        <v>7</v>
      </c>
      <c r="AM5" s="52">
        <v>1046</v>
      </c>
      <c r="AN5" s="53">
        <v>2838</v>
      </c>
    </row>
    <row r="6" spans="1:41" ht="16.5" customHeight="1">
      <c r="A6" s="5" t="s">
        <v>1</v>
      </c>
      <c r="B6" s="119">
        <v>1</v>
      </c>
      <c r="C6" s="118">
        <v>105</v>
      </c>
      <c r="D6" s="118">
        <v>353</v>
      </c>
      <c r="E6" s="118">
        <v>0</v>
      </c>
      <c r="F6" s="118">
        <v>0</v>
      </c>
      <c r="G6" s="118">
        <v>0</v>
      </c>
      <c r="H6" s="118">
        <v>0</v>
      </c>
      <c r="I6" s="118">
        <v>0</v>
      </c>
      <c r="J6" s="117">
        <v>0</v>
      </c>
      <c r="K6" s="119">
        <v>0</v>
      </c>
      <c r="L6" s="118">
        <v>0</v>
      </c>
      <c r="M6" s="118">
        <v>0</v>
      </c>
      <c r="N6" s="118">
        <v>1</v>
      </c>
      <c r="O6" s="118">
        <v>168</v>
      </c>
      <c r="P6" s="118">
        <v>252</v>
      </c>
      <c r="Q6" s="118">
        <v>2</v>
      </c>
      <c r="R6" s="118">
        <v>49</v>
      </c>
      <c r="S6" s="117">
        <v>139</v>
      </c>
      <c r="T6" s="119">
        <v>0</v>
      </c>
      <c r="U6" s="118">
        <v>0</v>
      </c>
      <c r="V6" s="118">
        <v>0</v>
      </c>
      <c r="W6" s="118">
        <v>0</v>
      </c>
      <c r="X6" s="118">
        <v>0</v>
      </c>
      <c r="Y6" s="118">
        <v>0</v>
      </c>
      <c r="Z6" s="118">
        <v>0</v>
      </c>
      <c r="AA6" s="118">
        <v>0</v>
      </c>
      <c r="AB6" s="117">
        <v>0</v>
      </c>
      <c r="AC6" s="119">
        <v>0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118">
        <v>0</v>
      </c>
      <c r="AJ6" s="118">
        <v>0</v>
      </c>
      <c r="AK6" s="117">
        <v>0</v>
      </c>
      <c r="AL6" s="51">
        <v>4</v>
      </c>
      <c r="AM6" s="52">
        <v>322</v>
      </c>
      <c r="AN6" s="53">
        <v>744</v>
      </c>
    </row>
    <row r="7" spans="1:41" ht="16.5" customHeight="1">
      <c r="A7" s="5" t="s">
        <v>2</v>
      </c>
      <c r="B7" s="119">
        <v>0</v>
      </c>
      <c r="C7" s="118">
        <v>0</v>
      </c>
      <c r="D7" s="118">
        <v>0</v>
      </c>
      <c r="E7" s="118">
        <v>1</v>
      </c>
      <c r="F7" s="118">
        <v>52</v>
      </c>
      <c r="G7" s="118">
        <v>104</v>
      </c>
      <c r="H7" s="118">
        <v>1</v>
      </c>
      <c r="I7" s="118">
        <v>9</v>
      </c>
      <c r="J7" s="117">
        <v>36</v>
      </c>
      <c r="K7" s="119">
        <v>0</v>
      </c>
      <c r="L7" s="118">
        <v>0</v>
      </c>
      <c r="M7" s="118">
        <v>0</v>
      </c>
      <c r="N7" s="118">
        <v>0</v>
      </c>
      <c r="O7" s="118">
        <v>0</v>
      </c>
      <c r="P7" s="118">
        <v>0</v>
      </c>
      <c r="Q7" s="118">
        <v>0</v>
      </c>
      <c r="R7" s="118">
        <v>0</v>
      </c>
      <c r="S7" s="117">
        <v>0</v>
      </c>
      <c r="T7" s="119">
        <v>0</v>
      </c>
      <c r="U7" s="118">
        <v>0</v>
      </c>
      <c r="V7" s="118">
        <v>0</v>
      </c>
      <c r="W7" s="118">
        <v>0</v>
      </c>
      <c r="X7" s="118">
        <v>0</v>
      </c>
      <c r="Y7" s="118">
        <v>0</v>
      </c>
      <c r="Z7" s="118">
        <v>0</v>
      </c>
      <c r="AA7" s="118">
        <v>0</v>
      </c>
      <c r="AB7" s="117">
        <v>0</v>
      </c>
      <c r="AC7" s="119">
        <v>0</v>
      </c>
      <c r="AD7" s="118">
        <v>0</v>
      </c>
      <c r="AE7" s="118">
        <v>0</v>
      </c>
      <c r="AF7" s="118">
        <v>0</v>
      </c>
      <c r="AG7" s="118">
        <v>0</v>
      </c>
      <c r="AH7" s="118">
        <v>0</v>
      </c>
      <c r="AI7" s="118">
        <v>0</v>
      </c>
      <c r="AJ7" s="118">
        <v>0</v>
      </c>
      <c r="AK7" s="117">
        <v>0</v>
      </c>
      <c r="AL7" s="51">
        <v>2</v>
      </c>
      <c r="AM7" s="52">
        <v>61</v>
      </c>
      <c r="AN7" s="53">
        <v>140</v>
      </c>
    </row>
    <row r="8" spans="1:41" ht="16.5" customHeight="1">
      <c r="A8" s="5" t="s">
        <v>3</v>
      </c>
      <c r="B8" s="119">
        <v>1</v>
      </c>
      <c r="C8" s="118">
        <v>147</v>
      </c>
      <c r="D8" s="118">
        <v>591</v>
      </c>
      <c r="E8" s="118">
        <v>0</v>
      </c>
      <c r="F8" s="118">
        <v>0</v>
      </c>
      <c r="G8" s="118">
        <v>0</v>
      </c>
      <c r="H8" s="118">
        <v>1</v>
      </c>
      <c r="I8" s="118">
        <v>15</v>
      </c>
      <c r="J8" s="117">
        <v>34</v>
      </c>
      <c r="K8" s="119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8">
        <v>5</v>
      </c>
      <c r="R8" s="118">
        <v>21</v>
      </c>
      <c r="S8" s="117">
        <v>130</v>
      </c>
      <c r="T8" s="119">
        <v>0</v>
      </c>
      <c r="U8" s="118">
        <v>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7">
        <v>0</v>
      </c>
      <c r="AC8" s="119">
        <v>0</v>
      </c>
      <c r="AD8" s="118">
        <v>0</v>
      </c>
      <c r="AE8" s="118">
        <v>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  <c r="AK8" s="117">
        <v>0</v>
      </c>
      <c r="AL8" s="51">
        <v>7</v>
      </c>
      <c r="AM8" s="52">
        <v>183</v>
      </c>
      <c r="AN8" s="53">
        <v>755</v>
      </c>
    </row>
    <row r="9" spans="1:41" ht="16.5" customHeight="1">
      <c r="A9" s="5" t="s">
        <v>4</v>
      </c>
      <c r="B9" s="119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7">
        <v>0</v>
      </c>
      <c r="K9" s="119">
        <v>0</v>
      </c>
      <c r="L9" s="118">
        <v>0</v>
      </c>
      <c r="M9" s="118">
        <v>0</v>
      </c>
      <c r="N9" s="118">
        <v>0</v>
      </c>
      <c r="O9" s="118">
        <v>0</v>
      </c>
      <c r="P9" s="118">
        <v>0</v>
      </c>
      <c r="Q9" s="118">
        <v>1</v>
      </c>
      <c r="R9" s="118">
        <v>13</v>
      </c>
      <c r="S9" s="117">
        <v>27</v>
      </c>
      <c r="T9" s="119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7">
        <v>0</v>
      </c>
      <c r="AC9" s="119">
        <v>0</v>
      </c>
      <c r="AD9" s="118">
        <v>0</v>
      </c>
      <c r="AE9" s="118">
        <v>0</v>
      </c>
      <c r="AF9" s="118">
        <v>0</v>
      </c>
      <c r="AG9" s="118">
        <v>0</v>
      </c>
      <c r="AH9" s="118">
        <v>0</v>
      </c>
      <c r="AI9" s="118">
        <v>0</v>
      </c>
      <c r="AJ9" s="118">
        <v>0</v>
      </c>
      <c r="AK9" s="117">
        <v>0</v>
      </c>
      <c r="AL9" s="51">
        <v>1</v>
      </c>
      <c r="AM9" s="52">
        <v>13</v>
      </c>
      <c r="AN9" s="53">
        <v>27</v>
      </c>
    </row>
    <row r="10" spans="1:41" ht="16.5" customHeight="1">
      <c r="A10" s="5" t="s">
        <v>5</v>
      </c>
      <c r="B10" s="119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7">
        <v>0</v>
      </c>
      <c r="K10" s="119">
        <v>0</v>
      </c>
      <c r="L10" s="118">
        <v>0</v>
      </c>
      <c r="M10" s="118">
        <v>0</v>
      </c>
      <c r="N10" s="118">
        <v>0</v>
      </c>
      <c r="O10" s="118">
        <v>0</v>
      </c>
      <c r="P10" s="118">
        <v>0</v>
      </c>
      <c r="Q10" s="118">
        <v>1</v>
      </c>
      <c r="R10" s="118">
        <v>36</v>
      </c>
      <c r="S10" s="117">
        <v>80</v>
      </c>
      <c r="T10" s="119">
        <v>0</v>
      </c>
      <c r="U10" s="118">
        <v>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7">
        <v>0</v>
      </c>
      <c r="AC10" s="119">
        <v>0</v>
      </c>
      <c r="AD10" s="118">
        <v>0</v>
      </c>
      <c r="AE10" s="118">
        <v>0</v>
      </c>
      <c r="AF10" s="118">
        <v>0</v>
      </c>
      <c r="AG10" s="118">
        <v>0</v>
      </c>
      <c r="AH10" s="118">
        <v>0</v>
      </c>
      <c r="AI10" s="118">
        <v>0</v>
      </c>
      <c r="AJ10" s="118">
        <v>0</v>
      </c>
      <c r="AK10" s="117">
        <v>0</v>
      </c>
      <c r="AL10" s="51">
        <v>1</v>
      </c>
      <c r="AM10" s="52">
        <v>36</v>
      </c>
      <c r="AN10" s="53">
        <v>80</v>
      </c>
    </row>
    <row r="11" spans="1:41" ht="16.5" customHeight="1">
      <c r="A11" s="237" t="s">
        <v>51</v>
      </c>
      <c r="B11" s="54">
        <v>4</v>
      </c>
      <c r="C11" s="72">
        <v>1190</v>
      </c>
      <c r="D11" s="72">
        <v>3500</v>
      </c>
      <c r="E11" s="72">
        <v>1</v>
      </c>
      <c r="F11" s="72">
        <v>52</v>
      </c>
      <c r="G11" s="72">
        <v>104</v>
      </c>
      <c r="H11" s="72">
        <v>2</v>
      </c>
      <c r="I11" s="72">
        <v>24</v>
      </c>
      <c r="J11" s="73">
        <v>70</v>
      </c>
      <c r="K11" s="54">
        <v>27</v>
      </c>
      <c r="L11" s="72">
        <v>5540</v>
      </c>
      <c r="M11" s="72">
        <v>12839</v>
      </c>
      <c r="N11" s="72">
        <v>61</v>
      </c>
      <c r="O11" s="72">
        <v>5475</v>
      </c>
      <c r="P11" s="72">
        <v>10996</v>
      </c>
      <c r="Q11" s="72">
        <v>168</v>
      </c>
      <c r="R11" s="72">
        <v>2987</v>
      </c>
      <c r="S11" s="73">
        <v>7193</v>
      </c>
      <c r="T11" s="54">
        <v>24</v>
      </c>
      <c r="U11" s="72">
        <v>5906</v>
      </c>
      <c r="V11" s="72">
        <v>15067</v>
      </c>
      <c r="W11" s="72">
        <v>10</v>
      </c>
      <c r="X11" s="72">
        <v>908</v>
      </c>
      <c r="Y11" s="72">
        <v>2269</v>
      </c>
      <c r="Z11" s="72">
        <v>2</v>
      </c>
      <c r="AA11" s="72">
        <v>15</v>
      </c>
      <c r="AB11" s="73">
        <v>48</v>
      </c>
      <c r="AC11" s="54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1</v>
      </c>
      <c r="AJ11" s="72">
        <v>12</v>
      </c>
      <c r="AK11" s="73">
        <v>12</v>
      </c>
      <c r="AL11" s="54">
        <v>300</v>
      </c>
      <c r="AM11" s="72">
        <v>22109</v>
      </c>
      <c r="AN11" s="73">
        <v>52098</v>
      </c>
    </row>
    <row r="12" spans="1:41" ht="16.5" customHeight="1">
      <c r="A12" s="6" t="s">
        <v>6</v>
      </c>
      <c r="B12" s="221">
        <v>1</v>
      </c>
      <c r="C12" s="222">
        <v>300</v>
      </c>
      <c r="D12" s="222">
        <v>1319</v>
      </c>
      <c r="E12" s="222">
        <v>0</v>
      </c>
      <c r="F12" s="222">
        <v>0</v>
      </c>
      <c r="G12" s="222">
        <v>0</v>
      </c>
      <c r="H12" s="222">
        <v>0</v>
      </c>
      <c r="I12" s="222">
        <v>0</v>
      </c>
      <c r="J12" s="120">
        <v>0</v>
      </c>
      <c r="K12" s="221">
        <v>0</v>
      </c>
      <c r="L12" s="222">
        <v>0</v>
      </c>
      <c r="M12" s="222">
        <v>0</v>
      </c>
      <c r="N12" s="222">
        <v>8</v>
      </c>
      <c r="O12" s="222">
        <v>411</v>
      </c>
      <c r="P12" s="222">
        <v>1203</v>
      </c>
      <c r="Q12" s="222">
        <v>20</v>
      </c>
      <c r="R12" s="222">
        <v>368</v>
      </c>
      <c r="S12" s="223">
        <v>865</v>
      </c>
      <c r="T12" s="122">
        <v>1</v>
      </c>
      <c r="U12" s="222">
        <v>150</v>
      </c>
      <c r="V12" s="222">
        <v>404</v>
      </c>
      <c r="W12" s="222">
        <v>0</v>
      </c>
      <c r="X12" s="222">
        <v>0</v>
      </c>
      <c r="Y12" s="222">
        <v>0</v>
      </c>
      <c r="Z12" s="222">
        <v>0</v>
      </c>
      <c r="AA12" s="222">
        <v>0</v>
      </c>
      <c r="AB12" s="223">
        <v>0</v>
      </c>
      <c r="AC12" s="122">
        <v>0</v>
      </c>
      <c r="AD12" s="222">
        <v>0</v>
      </c>
      <c r="AE12" s="222">
        <v>0</v>
      </c>
      <c r="AF12" s="222">
        <v>0</v>
      </c>
      <c r="AG12" s="222">
        <v>0</v>
      </c>
      <c r="AH12" s="222">
        <v>0</v>
      </c>
      <c r="AI12" s="222">
        <v>0</v>
      </c>
      <c r="AJ12" s="222">
        <v>0</v>
      </c>
      <c r="AK12" s="120">
        <v>0</v>
      </c>
      <c r="AL12" s="55">
        <v>30</v>
      </c>
      <c r="AM12" s="56">
        <v>1229</v>
      </c>
      <c r="AN12" s="57">
        <v>3791</v>
      </c>
    </row>
    <row r="13" spans="1:41" ht="16.5" customHeight="1">
      <c r="A13" s="5" t="s">
        <v>7</v>
      </c>
      <c r="B13" s="119">
        <v>3</v>
      </c>
      <c r="C13" s="118">
        <v>820</v>
      </c>
      <c r="D13" s="118">
        <v>2477</v>
      </c>
      <c r="E13" s="118">
        <v>1</v>
      </c>
      <c r="F13" s="118">
        <v>82</v>
      </c>
      <c r="G13" s="118">
        <v>167</v>
      </c>
      <c r="H13" s="118">
        <v>0</v>
      </c>
      <c r="I13" s="118">
        <v>0</v>
      </c>
      <c r="J13" s="224">
        <v>0</v>
      </c>
      <c r="K13" s="119">
        <v>0</v>
      </c>
      <c r="L13" s="118">
        <v>0</v>
      </c>
      <c r="M13" s="118">
        <v>0</v>
      </c>
      <c r="N13" s="118">
        <v>1</v>
      </c>
      <c r="O13" s="118">
        <v>28</v>
      </c>
      <c r="P13" s="118">
        <v>154</v>
      </c>
      <c r="Q13" s="118">
        <v>11</v>
      </c>
      <c r="R13" s="118">
        <v>174</v>
      </c>
      <c r="S13" s="117">
        <v>487</v>
      </c>
      <c r="T13" s="225">
        <v>0</v>
      </c>
      <c r="U13" s="118">
        <v>0</v>
      </c>
      <c r="V13" s="118">
        <v>0</v>
      </c>
      <c r="W13" s="118">
        <v>0</v>
      </c>
      <c r="X13" s="118">
        <v>0</v>
      </c>
      <c r="Y13" s="118">
        <v>0</v>
      </c>
      <c r="Z13" s="118">
        <v>0</v>
      </c>
      <c r="AA13" s="118">
        <v>0</v>
      </c>
      <c r="AB13" s="226">
        <v>0</v>
      </c>
      <c r="AC13" s="225">
        <v>0</v>
      </c>
      <c r="AD13" s="118">
        <v>0</v>
      </c>
      <c r="AE13" s="118">
        <v>0</v>
      </c>
      <c r="AF13" s="118">
        <v>0</v>
      </c>
      <c r="AG13" s="118">
        <v>0</v>
      </c>
      <c r="AH13" s="118">
        <v>0</v>
      </c>
      <c r="AI13" s="118">
        <v>0</v>
      </c>
      <c r="AJ13" s="118">
        <v>0</v>
      </c>
      <c r="AK13" s="224">
        <v>0</v>
      </c>
      <c r="AL13" s="51">
        <v>16</v>
      </c>
      <c r="AM13" s="52">
        <v>1104</v>
      </c>
      <c r="AN13" s="53">
        <v>3285</v>
      </c>
    </row>
    <row r="14" spans="1:41" ht="16.5" customHeight="1">
      <c r="A14" s="5" t="s">
        <v>8</v>
      </c>
      <c r="B14" s="119">
        <v>0</v>
      </c>
      <c r="C14" s="227">
        <v>0</v>
      </c>
      <c r="D14" s="227">
        <v>0</v>
      </c>
      <c r="E14" s="227">
        <v>0</v>
      </c>
      <c r="F14" s="227">
        <v>0</v>
      </c>
      <c r="G14" s="227">
        <v>0</v>
      </c>
      <c r="H14" s="227">
        <v>0</v>
      </c>
      <c r="I14" s="227">
        <v>0</v>
      </c>
      <c r="J14" s="117">
        <v>0</v>
      </c>
      <c r="K14" s="225">
        <v>0</v>
      </c>
      <c r="L14" s="118">
        <v>0</v>
      </c>
      <c r="M14" s="118">
        <v>0</v>
      </c>
      <c r="N14" s="118">
        <v>2</v>
      </c>
      <c r="O14" s="118">
        <v>41</v>
      </c>
      <c r="P14" s="118">
        <v>206</v>
      </c>
      <c r="Q14" s="118">
        <v>9</v>
      </c>
      <c r="R14" s="118">
        <v>73</v>
      </c>
      <c r="S14" s="117">
        <v>233</v>
      </c>
      <c r="T14" s="228">
        <v>1</v>
      </c>
      <c r="U14" s="118">
        <v>120</v>
      </c>
      <c r="V14" s="118">
        <v>368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226">
        <v>0</v>
      </c>
      <c r="AC14" s="119">
        <v>0</v>
      </c>
      <c r="AD14" s="227">
        <v>0</v>
      </c>
      <c r="AE14" s="227">
        <v>0</v>
      </c>
      <c r="AF14" s="227">
        <v>0</v>
      </c>
      <c r="AG14" s="227">
        <v>0</v>
      </c>
      <c r="AH14" s="227">
        <v>0</v>
      </c>
      <c r="AI14" s="227">
        <v>0</v>
      </c>
      <c r="AJ14" s="227">
        <v>0</v>
      </c>
      <c r="AK14" s="226">
        <v>0</v>
      </c>
      <c r="AL14" s="51">
        <v>12</v>
      </c>
      <c r="AM14" s="52">
        <v>234</v>
      </c>
      <c r="AN14" s="53">
        <v>807</v>
      </c>
    </row>
    <row r="15" spans="1:41" ht="16.5" customHeight="1">
      <c r="A15" s="5" t="s">
        <v>9</v>
      </c>
      <c r="B15" s="119">
        <v>2</v>
      </c>
      <c r="C15" s="118">
        <v>188</v>
      </c>
      <c r="D15" s="118">
        <v>692</v>
      </c>
      <c r="E15" s="118">
        <v>3</v>
      </c>
      <c r="F15" s="118">
        <v>175</v>
      </c>
      <c r="G15" s="118">
        <v>534</v>
      </c>
      <c r="H15" s="118">
        <v>1</v>
      </c>
      <c r="I15" s="118">
        <v>6</v>
      </c>
      <c r="J15" s="224">
        <v>14</v>
      </c>
      <c r="K15" s="119">
        <v>0</v>
      </c>
      <c r="L15" s="227">
        <v>0</v>
      </c>
      <c r="M15" s="227">
        <v>0</v>
      </c>
      <c r="N15" s="227">
        <v>1</v>
      </c>
      <c r="O15" s="227">
        <v>48</v>
      </c>
      <c r="P15" s="227">
        <v>124</v>
      </c>
      <c r="Q15" s="227">
        <v>12</v>
      </c>
      <c r="R15" s="227">
        <v>259</v>
      </c>
      <c r="S15" s="117">
        <v>598</v>
      </c>
      <c r="T15" s="119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Z15" s="227">
        <v>0</v>
      </c>
      <c r="AA15" s="227">
        <v>0</v>
      </c>
      <c r="AB15" s="117">
        <v>0</v>
      </c>
      <c r="AC15" s="119">
        <v>0</v>
      </c>
      <c r="AD15" s="118">
        <v>0</v>
      </c>
      <c r="AE15" s="118">
        <v>0</v>
      </c>
      <c r="AF15" s="118">
        <v>0</v>
      </c>
      <c r="AG15" s="118">
        <v>0</v>
      </c>
      <c r="AH15" s="118">
        <v>0</v>
      </c>
      <c r="AI15" s="118">
        <v>0</v>
      </c>
      <c r="AJ15" s="118">
        <v>0</v>
      </c>
      <c r="AK15" s="117">
        <v>0</v>
      </c>
      <c r="AL15" s="51">
        <v>19</v>
      </c>
      <c r="AM15" s="52">
        <v>676</v>
      </c>
      <c r="AN15" s="53">
        <v>1962</v>
      </c>
    </row>
    <row r="16" spans="1:41" ht="16.5" customHeight="1">
      <c r="A16" s="5" t="s">
        <v>10</v>
      </c>
      <c r="B16" s="119">
        <v>3</v>
      </c>
      <c r="C16" s="227">
        <v>960</v>
      </c>
      <c r="D16" s="227">
        <v>2730</v>
      </c>
      <c r="E16" s="227">
        <v>5</v>
      </c>
      <c r="F16" s="227">
        <v>228</v>
      </c>
      <c r="G16" s="227">
        <v>973</v>
      </c>
      <c r="H16" s="227">
        <v>2</v>
      </c>
      <c r="I16" s="227">
        <v>42</v>
      </c>
      <c r="J16" s="226">
        <v>106</v>
      </c>
      <c r="K16" s="229">
        <v>0</v>
      </c>
      <c r="L16" s="118">
        <v>0</v>
      </c>
      <c r="M16" s="118">
        <v>0</v>
      </c>
      <c r="N16" s="118">
        <v>0</v>
      </c>
      <c r="O16" s="118">
        <v>0</v>
      </c>
      <c r="P16" s="118">
        <v>0</v>
      </c>
      <c r="Q16" s="118">
        <v>4</v>
      </c>
      <c r="R16" s="118">
        <v>39</v>
      </c>
      <c r="S16" s="117">
        <v>96</v>
      </c>
      <c r="T16" s="228">
        <v>0</v>
      </c>
      <c r="U16" s="118">
        <v>0</v>
      </c>
      <c r="V16" s="118">
        <v>0</v>
      </c>
      <c r="W16" s="118">
        <v>0</v>
      </c>
      <c r="X16" s="118">
        <v>0</v>
      </c>
      <c r="Y16" s="118">
        <v>0</v>
      </c>
      <c r="Z16" s="118">
        <v>0</v>
      </c>
      <c r="AA16" s="118">
        <v>0</v>
      </c>
      <c r="AB16" s="224">
        <v>0</v>
      </c>
      <c r="AC16" s="225">
        <v>0</v>
      </c>
      <c r="AD16" s="118">
        <v>0</v>
      </c>
      <c r="AE16" s="118">
        <v>0</v>
      </c>
      <c r="AF16" s="118">
        <v>0</v>
      </c>
      <c r="AG16" s="118">
        <v>0</v>
      </c>
      <c r="AH16" s="118">
        <v>0</v>
      </c>
      <c r="AI16" s="118">
        <v>0</v>
      </c>
      <c r="AJ16" s="118">
        <v>0</v>
      </c>
      <c r="AK16" s="224">
        <v>0</v>
      </c>
      <c r="AL16" s="51">
        <v>14</v>
      </c>
      <c r="AM16" s="52">
        <v>1269</v>
      </c>
      <c r="AN16" s="53">
        <v>3905</v>
      </c>
    </row>
    <row r="17" spans="1:41" ht="16.5" customHeight="1">
      <c r="A17" s="5" t="s">
        <v>11</v>
      </c>
      <c r="B17" s="119">
        <v>0</v>
      </c>
      <c r="C17" s="118">
        <v>0</v>
      </c>
      <c r="D17" s="118">
        <v>0</v>
      </c>
      <c r="E17" s="118">
        <v>0</v>
      </c>
      <c r="F17" s="118">
        <v>0</v>
      </c>
      <c r="G17" s="118">
        <v>0</v>
      </c>
      <c r="H17" s="118">
        <v>0</v>
      </c>
      <c r="I17" s="118">
        <v>0</v>
      </c>
      <c r="J17" s="226">
        <v>0</v>
      </c>
      <c r="K17" s="225">
        <v>0</v>
      </c>
      <c r="L17" s="227">
        <v>0</v>
      </c>
      <c r="M17" s="227">
        <v>0</v>
      </c>
      <c r="N17" s="227">
        <v>0</v>
      </c>
      <c r="O17" s="227">
        <v>0</v>
      </c>
      <c r="P17" s="227">
        <v>0</v>
      </c>
      <c r="Q17" s="227">
        <v>3</v>
      </c>
      <c r="R17" s="227">
        <v>44</v>
      </c>
      <c r="S17" s="117">
        <v>114</v>
      </c>
      <c r="T17" s="119">
        <v>0</v>
      </c>
      <c r="U17" s="227">
        <v>0</v>
      </c>
      <c r="V17" s="227">
        <v>0</v>
      </c>
      <c r="W17" s="227">
        <v>0</v>
      </c>
      <c r="X17" s="227">
        <v>0</v>
      </c>
      <c r="Y17" s="227">
        <v>0</v>
      </c>
      <c r="Z17" s="227">
        <v>0</v>
      </c>
      <c r="AA17" s="227">
        <v>0</v>
      </c>
      <c r="AB17" s="117">
        <v>0</v>
      </c>
      <c r="AC17" s="119">
        <v>0</v>
      </c>
      <c r="AD17" s="230">
        <v>0</v>
      </c>
      <c r="AE17" s="230">
        <v>0</v>
      </c>
      <c r="AF17" s="230">
        <v>0</v>
      </c>
      <c r="AG17" s="230">
        <v>0</v>
      </c>
      <c r="AH17" s="230">
        <v>0</v>
      </c>
      <c r="AI17" s="230">
        <v>0</v>
      </c>
      <c r="AJ17" s="230">
        <v>0</v>
      </c>
      <c r="AK17" s="117">
        <v>0</v>
      </c>
      <c r="AL17" s="51">
        <v>3</v>
      </c>
      <c r="AM17" s="52">
        <v>44</v>
      </c>
      <c r="AN17" s="53">
        <v>114</v>
      </c>
    </row>
    <row r="18" spans="1:41" ht="16.5" customHeight="1">
      <c r="A18" s="5" t="s">
        <v>12</v>
      </c>
      <c r="B18" s="225">
        <v>6</v>
      </c>
      <c r="C18" s="227">
        <v>1474</v>
      </c>
      <c r="D18" s="227">
        <v>4647</v>
      </c>
      <c r="E18" s="227">
        <v>5</v>
      </c>
      <c r="F18" s="227">
        <v>283</v>
      </c>
      <c r="G18" s="227">
        <v>879</v>
      </c>
      <c r="H18" s="227">
        <v>7</v>
      </c>
      <c r="I18" s="227">
        <v>145</v>
      </c>
      <c r="J18" s="117">
        <v>434</v>
      </c>
      <c r="K18" s="119">
        <v>0</v>
      </c>
      <c r="L18" s="118">
        <v>0</v>
      </c>
      <c r="M18" s="118">
        <v>0</v>
      </c>
      <c r="N18" s="118">
        <v>6</v>
      </c>
      <c r="O18" s="118">
        <v>215</v>
      </c>
      <c r="P18" s="118">
        <v>1022</v>
      </c>
      <c r="Q18" s="118">
        <v>37</v>
      </c>
      <c r="R18" s="118">
        <v>454</v>
      </c>
      <c r="S18" s="117">
        <v>1388</v>
      </c>
      <c r="T18" s="119">
        <v>0</v>
      </c>
      <c r="U18" s="118">
        <v>0</v>
      </c>
      <c r="V18" s="118">
        <v>0</v>
      </c>
      <c r="W18" s="118">
        <v>0</v>
      </c>
      <c r="X18" s="118">
        <v>0</v>
      </c>
      <c r="Y18" s="118">
        <v>0</v>
      </c>
      <c r="Z18" s="118">
        <v>0</v>
      </c>
      <c r="AA18" s="118">
        <v>0</v>
      </c>
      <c r="AB18" s="224">
        <v>0</v>
      </c>
      <c r="AC18" s="229">
        <v>0</v>
      </c>
      <c r="AD18" s="227">
        <v>0</v>
      </c>
      <c r="AE18" s="227">
        <v>0</v>
      </c>
      <c r="AF18" s="227">
        <v>0</v>
      </c>
      <c r="AG18" s="227">
        <v>0</v>
      </c>
      <c r="AH18" s="227">
        <v>0</v>
      </c>
      <c r="AI18" s="227">
        <v>0</v>
      </c>
      <c r="AJ18" s="227">
        <v>0</v>
      </c>
      <c r="AK18" s="117">
        <v>0</v>
      </c>
      <c r="AL18" s="51">
        <v>61</v>
      </c>
      <c r="AM18" s="52">
        <v>2571</v>
      </c>
      <c r="AN18" s="53">
        <v>8370</v>
      </c>
    </row>
    <row r="19" spans="1:41" ht="16.5" customHeight="1">
      <c r="A19" s="5" t="s">
        <v>13</v>
      </c>
      <c r="B19" s="119">
        <v>1</v>
      </c>
      <c r="C19" s="118">
        <v>217</v>
      </c>
      <c r="D19" s="118">
        <v>634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224">
        <v>0</v>
      </c>
      <c r="K19" s="119">
        <v>0</v>
      </c>
      <c r="L19" s="227">
        <v>0</v>
      </c>
      <c r="M19" s="227">
        <v>0</v>
      </c>
      <c r="N19" s="227">
        <v>2</v>
      </c>
      <c r="O19" s="227">
        <v>112</v>
      </c>
      <c r="P19" s="227">
        <v>334</v>
      </c>
      <c r="Q19" s="227">
        <v>3</v>
      </c>
      <c r="R19" s="227">
        <v>57</v>
      </c>
      <c r="S19" s="224">
        <v>171</v>
      </c>
      <c r="T19" s="228">
        <v>0</v>
      </c>
      <c r="U19" s="227">
        <v>0</v>
      </c>
      <c r="V19" s="227">
        <v>0</v>
      </c>
      <c r="W19" s="227">
        <v>0</v>
      </c>
      <c r="X19" s="227">
        <v>0</v>
      </c>
      <c r="Y19" s="227">
        <v>0</v>
      </c>
      <c r="Z19" s="227">
        <v>0</v>
      </c>
      <c r="AA19" s="227">
        <v>0</v>
      </c>
      <c r="AB19" s="117">
        <v>0</v>
      </c>
      <c r="AC19" s="225">
        <v>0</v>
      </c>
      <c r="AD19" s="118">
        <v>0</v>
      </c>
      <c r="AE19" s="118">
        <v>0</v>
      </c>
      <c r="AF19" s="118">
        <v>0</v>
      </c>
      <c r="AG19" s="118">
        <v>0</v>
      </c>
      <c r="AH19" s="118">
        <v>0</v>
      </c>
      <c r="AI19" s="118">
        <v>0</v>
      </c>
      <c r="AJ19" s="118">
        <v>0</v>
      </c>
      <c r="AK19" s="224">
        <v>0</v>
      </c>
      <c r="AL19" s="51">
        <v>6</v>
      </c>
      <c r="AM19" s="52">
        <v>386</v>
      </c>
      <c r="AN19" s="53">
        <v>1139</v>
      </c>
    </row>
    <row r="20" spans="1:41" ht="16.5" customHeight="1">
      <c r="A20" s="5" t="s">
        <v>14</v>
      </c>
      <c r="B20" s="119">
        <v>0</v>
      </c>
      <c r="C20" s="118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226">
        <v>0</v>
      </c>
      <c r="K20" s="119">
        <v>0</v>
      </c>
      <c r="L20" s="118">
        <v>0</v>
      </c>
      <c r="M20" s="118">
        <v>0</v>
      </c>
      <c r="N20" s="118">
        <v>0</v>
      </c>
      <c r="O20" s="118">
        <v>0</v>
      </c>
      <c r="P20" s="118">
        <v>0</v>
      </c>
      <c r="Q20" s="118">
        <v>2</v>
      </c>
      <c r="R20" s="118">
        <v>26</v>
      </c>
      <c r="S20" s="117">
        <v>60</v>
      </c>
      <c r="T20" s="119">
        <v>0</v>
      </c>
      <c r="U20" s="118">
        <v>0</v>
      </c>
      <c r="V20" s="118">
        <v>0</v>
      </c>
      <c r="W20" s="118">
        <v>0</v>
      </c>
      <c r="X20" s="118">
        <v>0</v>
      </c>
      <c r="Y20" s="118">
        <v>0</v>
      </c>
      <c r="Z20" s="118">
        <v>0</v>
      </c>
      <c r="AA20" s="118">
        <v>0</v>
      </c>
      <c r="AB20" s="117">
        <v>0</v>
      </c>
      <c r="AC20" s="228">
        <v>0</v>
      </c>
      <c r="AD20" s="118">
        <v>0</v>
      </c>
      <c r="AE20" s="118">
        <v>0</v>
      </c>
      <c r="AF20" s="118">
        <v>0</v>
      </c>
      <c r="AG20" s="118">
        <v>0</v>
      </c>
      <c r="AH20" s="118">
        <v>0</v>
      </c>
      <c r="AI20" s="118">
        <v>0</v>
      </c>
      <c r="AJ20" s="118">
        <v>0</v>
      </c>
      <c r="AK20" s="226">
        <v>0</v>
      </c>
      <c r="AL20" s="51">
        <v>2</v>
      </c>
      <c r="AM20" s="52">
        <v>26</v>
      </c>
      <c r="AN20" s="53">
        <v>60</v>
      </c>
      <c r="AO20" s="220"/>
    </row>
    <row r="21" spans="1:41" ht="16.5" customHeight="1">
      <c r="A21" s="5" t="s">
        <v>15</v>
      </c>
      <c r="B21" s="119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117">
        <v>0</v>
      </c>
      <c r="K21" s="229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117">
        <v>0</v>
      </c>
      <c r="T21" s="229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Z21" s="230">
        <v>0</v>
      </c>
      <c r="AA21" s="230">
        <v>0</v>
      </c>
      <c r="AB21" s="231">
        <v>0</v>
      </c>
      <c r="AC21" s="119">
        <v>0</v>
      </c>
      <c r="AD21" s="230">
        <v>0</v>
      </c>
      <c r="AE21" s="230">
        <v>0</v>
      </c>
      <c r="AF21" s="230">
        <v>0</v>
      </c>
      <c r="AG21" s="230">
        <v>0</v>
      </c>
      <c r="AH21" s="230">
        <v>0</v>
      </c>
      <c r="AI21" s="230">
        <v>0</v>
      </c>
      <c r="AJ21" s="230">
        <v>0</v>
      </c>
      <c r="AK21" s="117">
        <v>0</v>
      </c>
      <c r="AL21" s="51">
        <v>0</v>
      </c>
      <c r="AM21" s="52">
        <v>0</v>
      </c>
      <c r="AN21" s="53">
        <v>0</v>
      </c>
      <c r="AO21" s="220"/>
    </row>
    <row r="22" spans="1:41" ht="16.5" customHeight="1">
      <c r="A22" s="237" t="s">
        <v>52</v>
      </c>
      <c r="B22" s="54">
        <v>16</v>
      </c>
      <c r="C22" s="72">
        <v>3959</v>
      </c>
      <c r="D22" s="72">
        <v>12499</v>
      </c>
      <c r="E22" s="72">
        <v>14</v>
      </c>
      <c r="F22" s="72">
        <v>768</v>
      </c>
      <c r="G22" s="72">
        <v>2553</v>
      </c>
      <c r="H22" s="72">
        <v>10</v>
      </c>
      <c r="I22" s="72">
        <v>193</v>
      </c>
      <c r="J22" s="73">
        <v>554</v>
      </c>
      <c r="K22" s="54">
        <v>0</v>
      </c>
      <c r="L22" s="72">
        <v>0</v>
      </c>
      <c r="M22" s="72">
        <v>0</v>
      </c>
      <c r="N22" s="72">
        <v>20</v>
      </c>
      <c r="O22" s="72">
        <v>855</v>
      </c>
      <c r="P22" s="72">
        <v>3043</v>
      </c>
      <c r="Q22" s="72">
        <v>101</v>
      </c>
      <c r="R22" s="72">
        <v>1494</v>
      </c>
      <c r="S22" s="73">
        <v>4012</v>
      </c>
      <c r="T22" s="54">
        <v>2</v>
      </c>
      <c r="U22" s="72">
        <v>270</v>
      </c>
      <c r="V22" s="72">
        <v>772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3">
        <v>0</v>
      </c>
      <c r="AC22" s="54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0</v>
      </c>
      <c r="AJ22" s="72">
        <v>0</v>
      </c>
      <c r="AK22" s="73">
        <v>0</v>
      </c>
      <c r="AL22" s="54">
        <v>163</v>
      </c>
      <c r="AM22" s="72">
        <v>7539</v>
      </c>
      <c r="AN22" s="73">
        <v>23433</v>
      </c>
      <c r="AO22" s="220"/>
    </row>
    <row r="23" spans="1:41" ht="16.5" customHeight="1">
      <c r="A23" s="6" t="s">
        <v>16</v>
      </c>
      <c r="B23" s="221">
        <v>7</v>
      </c>
      <c r="C23" s="222">
        <v>1536</v>
      </c>
      <c r="D23" s="222">
        <v>5426</v>
      </c>
      <c r="E23" s="222">
        <v>4</v>
      </c>
      <c r="F23" s="222">
        <v>352</v>
      </c>
      <c r="G23" s="222">
        <v>950</v>
      </c>
      <c r="H23" s="222">
        <v>2</v>
      </c>
      <c r="I23" s="222">
        <v>28</v>
      </c>
      <c r="J23" s="120">
        <v>102</v>
      </c>
      <c r="K23" s="221">
        <v>2</v>
      </c>
      <c r="L23" s="121">
        <v>157</v>
      </c>
      <c r="M23" s="121">
        <v>755</v>
      </c>
      <c r="N23" s="121">
        <v>7</v>
      </c>
      <c r="O23" s="121">
        <v>687</v>
      </c>
      <c r="P23" s="121">
        <v>1373</v>
      </c>
      <c r="Q23" s="121">
        <v>23</v>
      </c>
      <c r="R23" s="121">
        <v>431</v>
      </c>
      <c r="S23" s="223">
        <v>1006</v>
      </c>
      <c r="T23" s="122">
        <v>0</v>
      </c>
      <c r="U23" s="222">
        <v>0</v>
      </c>
      <c r="V23" s="222">
        <v>0</v>
      </c>
      <c r="W23" s="222">
        <v>0</v>
      </c>
      <c r="X23" s="222">
        <v>0</v>
      </c>
      <c r="Y23" s="222">
        <v>0</v>
      </c>
      <c r="Z23" s="222">
        <v>0</v>
      </c>
      <c r="AA23" s="222">
        <v>0</v>
      </c>
      <c r="AB23" s="120">
        <v>0</v>
      </c>
      <c r="AC23" s="122">
        <v>0</v>
      </c>
      <c r="AD23" s="222">
        <v>0</v>
      </c>
      <c r="AE23" s="222">
        <v>0</v>
      </c>
      <c r="AF23" s="222">
        <v>0</v>
      </c>
      <c r="AG23" s="222">
        <v>0</v>
      </c>
      <c r="AH23" s="222">
        <v>0</v>
      </c>
      <c r="AI23" s="222">
        <v>0</v>
      </c>
      <c r="AJ23" s="222">
        <v>0</v>
      </c>
      <c r="AK23" s="223">
        <v>0</v>
      </c>
      <c r="AL23" s="55">
        <v>45</v>
      </c>
      <c r="AM23" s="56">
        <v>3191</v>
      </c>
      <c r="AN23" s="57">
        <v>9612</v>
      </c>
      <c r="AO23" s="220"/>
    </row>
    <row r="24" spans="1:41" ht="16.5" customHeight="1">
      <c r="A24" s="5" t="s">
        <v>17</v>
      </c>
      <c r="B24" s="119">
        <v>1</v>
      </c>
      <c r="C24" s="118">
        <v>184</v>
      </c>
      <c r="D24" s="118">
        <v>508</v>
      </c>
      <c r="E24" s="118">
        <v>0</v>
      </c>
      <c r="F24" s="118">
        <v>0</v>
      </c>
      <c r="G24" s="118">
        <v>0</v>
      </c>
      <c r="H24" s="118">
        <v>2</v>
      </c>
      <c r="I24" s="118">
        <v>42</v>
      </c>
      <c r="J24" s="224">
        <v>132</v>
      </c>
      <c r="K24" s="119">
        <v>0</v>
      </c>
      <c r="L24" s="227">
        <v>0</v>
      </c>
      <c r="M24" s="227">
        <v>0</v>
      </c>
      <c r="N24" s="227">
        <v>0</v>
      </c>
      <c r="O24" s="227">
        <v>0</v>
      </c>
      <c r="P24" s="227">
        <v>0</v>
      </c>
      <c r="Q24" s="227">
        <v>2</v>
      </c>
      <c r="R24" s="227">
        <v>30</v>
      </c>
      <c r="S24" s="117">
        <v>52</v>
      </c>
      <c r="T24" s="119">
        <v>0</v>
      </c>
      <c r="U24" s="118">
        <v>0</v>
      </c>
      <c r="V24" s="118">
        <v>0</v>
      </c>
      <c r="W24" s="118">
        <v>0</v>
      </c>
      <c r="X24" s="118">
        <v>0</v>
      </c>
      <c r="Y24" s="118">
        <v>0</v>
      </c>
      <c r="Z24" s="118">
        <v>0</v>
      </c>
      <c r="AA24" s="118">
        <v>0</v>
      </c>
      <c r="AB24" s="224">
        <v>0</v>
      </c>
      <c r="AC24" s="225">
        <v>0</v>
      </c>
      <c r="AD24" s="118">
        <v>0</v>
      </c>
      <c r="AE24" s="118">
        <v>0</v>
      </c>
      <c r="AF24" s="118">
        <v>0</v>
      </c>
      <c r="AG24" s="118">
        <v>0</v>
      </c>
      <c r="AH24" s="118">
        <v>0</v>
      </c>
      <c r="AI24" s="118">
        <v>3</v>
      </c>
      <c r="AJ24" s="118">
        <v>28</v>
      </c>
      <c r="AK24" s="117">
        <v>133</v>
      </c>
      <c r="AL24" s="51">
        <v>8</v>
      </c>
      <c r="AM24" s="52">
        <v>284</v>
      </c>
      <c r="AN24" s="53">
        <v>825</v>
      </c>
      <c r="AO24" s="220"/>
    </row>
    <row r="25" spans="1:41" ht="16.5" customHeight="1">
      <c r="A25" s="5" t="s">
        <v>18</v>
      </c>
      <c r="B25" s="119">
        <v>0</v>
      </c>
      <c r="C25" s="227">
        <v>0</v>
      </c>
      <c r="D25" s="227">
        <v>0</v>
      </c>
      <c r="E25" s="227">
        <v>0</v>
      </c>
      <c r="F25" s="227">
        <v>0</v>
      </c>
      <c r="G25" s="227">
        <v>0</v>
      </c>
      <c r="H25" s="227">
        <v>0</v>
      </c>
      <c r="I25" s="227">
        <v>0</v>
      </c>
      <c r="J25" s="226">
        <v>0</v>
      </c>
      <c r="K25" s="119">
        <v>0</v>
      </c>
      <c r="L25" s="118">
        <v>0</v>
      </c>
      <c r="M25" s="118">
        <v>0</v>
      </c>
      <c r="N25" s="118">
        <v>0</v>
      </c>
      <c r="O25" s="118">
        <v>0</v>
      </c>
      <c r="P25" s="118">
        <v>0</v>
      </c>
      <c r="Q25" s="118">
        <v>0</v>
      </c>
      <c r="R25" s="118">
        <v>0</v>
      </c>
      <c r="S25" s="117">
        <v>0</v>
      </c>
      <c r="T25" s="119">
        <v>0</v>
      </c>
      <c r="U25" s="227">
        <v>0</v>
      </c>
      <c r="V25" s="227">
        <v>0</v>
      </c>
      <c r="W25" s="227">
        <v>0</v>
      </c>
      <c r="X25" s="227">
        <v>0</v>
      </c>
      <c r="Y25" s="227">
        <v>0</v>
      </c>
      <c r="Z25" s="227">
        <v>0</v>
      </c>
      <c r="AA25" s="227">
        <v>0</v>
      </c>
      <c r="AB25" s="226">
        <v>0</v>
      </c>
      <c r="AC25" s="119">
        <v>0</v>
      </c>
      <c r="AD25" s="118">
        <v>0</v>
      </c>
      <c r="AE25" s="227">
        <v>0</v>
      </c>
      <c r="AF25" s="227">
        <v>0</v>
      </c>
      <c r="AG25" s="227">
        <v>0</v>
      </c>
      <c r="AH25" s="227">
        <v>0</v>
      </c>
      <c r="AI25" s="227">
        <v>0</v>
      </c>
      <c r="AJ25" s="227">
        <v>0</v>
      </c>
      <c r="AK25" s="117">
        <v>0</v>
      </c>
      <c r="AL25" s="51">
        <v>0</v>
      </c>
      <c r="AM25" s="52">
        <v>0</v>
      </c>
      <c r="AN25" s="53">
        <v>0</v>
      </c>
      <c r="AO25" s="220"/>
    </row>
    <row r="26" spans="1:41" ht="16.5" customHeight="1">
      <c r="A26" s="5" t="s">
        <v>19</v>
      </c>
      <c r="B26" s="119">
        <v>0</v>
      </c>
      <c r="C26" s="118">
        <v>0</v>
      </c>
      <c r="D26" s="118">
        <v>0</v>
      </c>
      <c r="E26" s="118">
        <v>0</v>
      </c>
      <c r="F26" s="118">
        <v>0</v>
      </c>
      <c r="G26" s="118">
        <v>0</v>
      </c>
      <c r="H26" s="118">
        <v>0</v>
      </c>
      <c r="I26" s="118">
        <v>0</v>
      </c>
      <c r="J26" s="226">
        <v>0</v>
      </c>
      <c r="K26" s="228">
        <v>0</v>
      </c>
      <c r="L26" s="227">
        <v>0</v>
      </c>
      <c r="M26" s="227">
        <v>0</v>
      </c>
      <c r="N26" s="227">
        <v>0</v>
      </c>
      <c r="O26" s="227">
        <v>0</v>
      </c>
      <c r="P26" s="227">
        <v>0</v>
      </c>
      <c r="Q26" s="227">
        <v>1</v>
      </c>
      <c r="R26" s="227">
        <v>12</v>
      </c>
      <c r="S26" s="117">
        <v>48</v>
      </c>
      <c r="T26" s="225">
        <v>0</v>
      </c>
      <c r="U26" s="118">
        <v>0</v>
      </c>
      <c r="V26" s="118">
        <v>0</v>
      </c>
      <c r="W26" s="118">
        <v>0</v>
      </c>
      <c r="X26" s="118">
        <v>0</v>
      </c>
      <c r="Y26" s="118">
        <v>0</v>
      </c>
      <c r="Z26" s="118">
        <v>0</v>
      </c>
      <c r="AA26" s="118">
        <v>0</v>
      </c>
      <c r="AB26" s="226">
        <v>0</v>
      </c>
      <c r="AC26" s="225">
        <v>0</v>
      </c>
      <c r="AD26" s="230">
        <v>0</v>
      </c>
      <c r="AE26" s="118">
        <v>0</v>
      </c>
      <c r="AF26" s="118">
        <v>0</v>
      </c>
      <c r="AG26" s="118">
        <v>0</v>
      </c>
      <c r="AH26" s="118">
        <v>0</v>
      </c>
      <c r="AI26" s="118">
        <v>0</v>
      </c>
      <c r="AJ26" s="118">
        <v>0</v>
      </c>
      <c r="AK26" s="117">
        <v>0</v>
      </c>
      <c r="AL26" s="51">
        <v>1</v>
      </c>
      <c r="AM26" s="52">
        <v>12</v>
      </c>
      <c r="AN26" s="53">
        <v>48</v>
      </c>
    </row>
    <row r="27" spans="1:41" ht="16.5" customHeight="1">
      <c r="A27" s="5" t="s">
        <v>20</v>
      </c>
      <c r="B27" s="229">
        <v>2</v>
      </c>
      <c r="C27" s="227">
        <v>128</v>
      </c>
      <c r="D27" s="227">
        <v>688</v>
      </c>
      <c r="E27" s="227">
        <v>2</v>
      </c>
      <c r="F27" s="227">
        <v>90</v>
      </c>
      <c r="G27" s="227">
        <v>312</v>
      </c>
      <c r="H27" s="227">
        <v>9</v>
      </c>
      <c r="I27" s="227">
        <v>120</v>
      </c>
      <c r="J27" s="117">
        <v>431</v>
      </c>
      <c r="K27" s="119">
        <v>0</v>
      </c>
      <c r="L27" s="118">
        <v>0</v>
      </c>
      <c r="M27" s="118">
        <v>0</v>
      </c>
      <c r="N27" s="118">
        <v>0</v>
      </c>
      <c r="O27" s="118">
        <v>0</v>
      </c>
      <c r="P27" s="118">
        <v>0</v>
      </c>
      <c r="Q27" s="118">
        <v>1</v>
      </c>
      <c r="R27" s="118">
        <v>3</v>
      </c>
      <c r="S27" s="231">
        <v>12</v>
      </c>
      <c r="T27" s="228">
        <v>0</v>
      </c>
      <c r="U27" s="227">
        <v>0</v>
      </c>
      <c r="V27" s="227">
        <v>0</v>
      </c>
      <c r="W27" s="227">
        <v>0</v>
      </c>
      <c r="X27" s="227">
        <v>0</v>
      </c>
      <c r="Y27" s="227">
        <v>0</v>
      </c>
      <c r="Z27" s="227">
        <v>0</v>
      </c>
      <c r="AA27" s="227">
        <v>0</v>
      </c>
      <c r="AB27" s="117">
        <v>0</v>
      </c>
      <c r="AC27" s="119">
        <v>0</v>
      </c>
      <c r="AD27" s="227">
        <v>0</v>
      </c>
      <c r="AE27" s="227">
        <v>0</v>
      </c>
      <c r="AF27" s="227">
        <v>0</v>
      </c>
      <c r="AG27" s="227">
        <v>0</v>
      </c>
      <c r="AH27" s="227">
        <v>0</v>
      </c>
      <c r="AI27" s="227">
        <v>0</v>
      </c>
      <c r="AJ27" s="227">
        <v>0</v>
      </c>
      <c r="AK27" s="224">
        <v>0</v>
      </c>
      <c r="AL27" s="51">
        <v>14</v>
      </c>
      <c r="AM27" s="52">
        <v>341</v>
      </c>
      <c r="AN27" s="53">
        <v>1443</v>
      </c>
      <c r="AO27" s="220"/>
    </row>
    <row r="28" spans="1:41" ht="16.5" customHeight="1">
      <c r="A28" s="112" t="s">
        <v>40</v>
      </c>
      <c r="B28" s="229">
        <v>7</v>
      </c>
      <c r="C28" s="118">
        <v>1410</v>
      </c>
      <c r="D28" s="118">
        <v>4930</v>
      </c>
      <c r="E28" s="118">
        <v>4</v>
      </c>
      <c r="F28" s="118">
        <v>208</v>
      </c>
      <c r="G28" s="118">
        <v>889</v>
      </c>
      <c r="H28" s="118">
        <v>3</v>
      </c>
      <c r="I28" s="118">
        <v>47</v>
      </c>
      <c r="J28" s="117">
        <v>142</v>
      </c>
      <c r="K28" s="225">
        <v>0</v>
      </c>
      <c r="L28" s="230">
        <v>0</v>
      </c>
      <c r="M28" s="230">
        <v>0</v>
      </c>
      <c r="N28" s="230">
        <v>4</v>
      </c>
      <c r="O28" s="230">
        <v>149</v>
      </c>
      <c r="P28" s="230">
        <v>716</v>
      </c>
      <c r="Q28" s="230">
        <v>12</v>
      </c>
      <c r="R28" s="230">
        <v>157</v>
      </c>
      <c r="S28" s="224">
        <v>492</v>
      </c>
      <c r="T28" s="22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118">
        <v>0</v>
      </c>
      <c r="AB28" s="224">
        <v>0</v>
      </c>
      <c r="AC28" s="225">
        <v>0</v>
      </c>
      <c r="AD28" s="118">
        <v>0</v>
      </c>
      <c r="AE28" s="118">
        <v>0</v>
      </c>
      <c r="AF28" s="118">
        <v>0</v>
      </c>
      <c r="AG28" s="118">
        <v>0</v>
      </c>
      <c r="AH28" s="118">
        <v>0</v>
      </c>
      <c r="AI28" s="118">
        <v>0</v>
      </c>
      <c r="AJ28" s="118">
        <v>0</v>
      </c>
      <c r="AK28" s="226">
        <v>0</v>
      </c>
      <c r="AL28" s="51">
        <v>30</v>
      </c>
      <c r="AM28" s="52">
        <v>1971</v>
      </c>
      <c r="AN28" s="53">
        <v>7169</v>
      </c>
      <c r="AO28" s="220"/>
    </row>
    <row r="29" spans="1:41" ht="16.5" customHeight="1">
      <c r="A29" s="5" t="s">
        <v>21</v>
      </c>
      <c r="B29" s="225">
        <v>16</v>
      </c>
      <c r="C29" s="227">
        <v>4593</v>
      </c>
      <c r="D29" s="227">
        <v>15326</v>
      </c>
      <c r="E29" s="227">
        <v>8</v>
      </c>
      <c r="F29" s="227">
        <v>472</v>
      </c>
      <c r="G29" s="227">
        <v>1335</v>
      </c>
      <c r="H29" s="227">
        <v>9</v>
      </c>
      <c r="I29" s="227">
        <v>104</v>
      </c>
      <c r="J29" s="224">
        <v>352</v>
      </c>
      <c r="K29" s="119">
        <v>0</v>
      </c>
      <c r="L29" s="227">
        <v>0</v>
      </c>
      <c r="M29" s="227">
        <v>0</v>
      </c>
      <c r="N29" s="227">
        <v>2</v>
      </c>
      <c r="O29" s="227">
        <v>46</v>
      </c>
      <c r="P29" s="227">
        <v>255</v>
      </c>
      <c r="Q29" s="227">
        <v>16</v>
      </c>
      <c r="R29" s="227">
        <v>180</v>
      </c>
      <c r="S29" s="117">
        <v>609</v>
      </c>
      <c r="T29" s="228">
        <v>0</v>
      </c>
      <c r="U29" s="227">
        <v>0</v>
      </c>
      <c r="V29" s="227">
        <v>0</v>
      </c>
      <c r="W29" s="227">
        <v>0</v>
      </c>
      <c r="X29" s="227">
        <v>0</v>
      </c>
      <c r="Y29" s="227">
        <v>0</v>
      </c>
      <c r="Z29" s="227">
        <v>0</v>
      </c>
      <c r="AA29" s="227">
        <v>0</v>
      </c>
      <c r="AB29" s="226">
        <v>0</v>
      </c>
      <c r="AC29" s="119">
        <v>0</v>
      </c>
      <c r="AD29" s="227">
        <v>0</v>
      </c>
      <c r="AE29" s="227">
        <v>0</v>
      </c>
      <c r="AF29" s="227">
        <v>0</v>
      </c>
      <c r="AG29" s="227">
        <v>0</v>
      </c>
      <c r="AH29" s="227">
        <v>0</v>
      </c>
      <c r="AI29" s="227">
        <v>7</v>
      </c>
      <c r="AJ29" s="227">
        <v>95</v>
      </c>
      <c r="AK29" s="117">
        <v>244</v>
      </c>
      <c r="AL29" s="51">
        <v>58</v>
      </c>
      <c r="AM29" s="52">
        <v>5490</v>
      </c>
      <c r="AN29" s="53">
        <v>18121</v>
      </c>
      <c r="AO29" s="220"/>
    </row>
    <row r="30" spans="1:41" ht="16.5" customHeight="1">
      <c r="A30" s="5" t="s">
        <v>22</v>
      </c>
      <c r="B30" s="119">
        <v>0</v>
      </c>
      <c r="C30" s="118">
        <v>0</v>
      </c>
      <c r="D30" s="118">
        <v>0</v>
      </c>
      <c r="E30" s="118">
        <v>1</v>
      </c>
      <c r="F30" s="118">
        <v>30</v>
      </c>
      <c r="G30" s="118">
        <v>120</v>
      </c>
      <c r="H30" s="118">
        <v>1</v>
      </c>
      <c r="I30" s="118">
        <v>19</v>
      </c>
      <c r="J30" s="117">
        <v>38</v>
      </c>
      <c r="K30" s="119">
        <v>0</v>
      </c>
      <c r="L30" s="118">
        <v>0</v>
      </c>
      <c r="M30" s="118">
        <v>0</v>
      </c>
      <c r="N30" s="118">
        <v>0</v>
      </c>
      <c r="O30" s="118">
        <v>0</v>
      </c>
      <c r="P30" s="118">
        <v>0</v>
      </c>
      <c r="Q30" s="118">
        <v>0</v>
      </c>
      <c r="R30" s="118">
        <v>0</v>
      </c>
      <c r="S30" s="117">
        <v>0</v>
      </c>
      <c r="T30" s="22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226">
        <v>0</v>
      </c>
      <c r="AC30" s="119">
        <v>0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118">
        <v>0</v>
      </c>
      <c r="AJ30" s="118">
        <v>0</v>
      </c>
      <c r="AK30" s="117">
        <v>0</v>
      </c>
      <c r="AL30" s="51">
        <v>2</v>
      </c>
      <c r="AM30" s="52">
        <v>49</v>
      </c>
      <c r="AN30" s="53">
        <v>158</v>
      </c>
      <c r="AO30" s="220"/>
    </row>
    <row r="31" spans="1:41" ht="16.5" customHeight="1">
      <c r="A31" s="5" t="s">
        <v>23</v>
      </c>
      <c r="B31" s="119">
        <v>1</v>
      </c>
      <c r="C31" s="230">
        <v>121</v>
      </c>
      <c r="D31" s="230">
        <v>304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1">
        <v>0</v>
      </c>
      <c r="K31" s="229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7</v>
      </c>
      <c r="R31" s="230">
        <v>65</v>
      </c>
      <c r="S31" s="231">
        <v>248</v>
      </c>
      <c r="T31" s="119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Z31" s="230">
        <v>0</v>
      </c>
      <c r="AA31" s="230">
        <v>0</v>
      </c>
      <c r="AB31" s="117">
        <v>0</v>
      </c>
      <c r="AC31" s="119">
        <v>0</v>
      </c>
      <c r="AD31" s="230">
        <v>0</v>
      </c>
      <c r="AE31" s="230">
        <v>0</v>
      </c>
      <c r="AF31" s="230">
        <v>0</v>
      </c>
      <c r="AG31" s="230">
        <v>0</v>
      </c>
      <c r="AH31" s="230">
        <v>0</v>
      </c>
      <c r="AI31" s="230">
        <v>0</v>
      </c>
      <c r="AJ31" s="230">
        <v>0</v>
      </c>
      <c r="AK31" s="231">
        <v>0</v>
      </c>
      <c r="AL31" s="51">
        <v>8</v>
      </c>
      <c r="AM31" s="52">
        <v>186</v>
      </c>
      <c r="AN31" s="53">
        <v>552</v>
      </c>
      <c r="AO31" s="220"/>
    </row>
    <row r="32" spans="1:41" ht="16.5" customHeight="1">
      <c r="A32" s="237" t="s">
        <v>53</v>
      </c>
      <c r="B32" s="54">
        <v>34</v>
      </c>
      <c r="C32" s="72">
        <v>7972</v>
      </c>
      <c r="D32" s="72">
        <v>27182</v>
      </c>
      <c r="E32" s="72">
        <v>19</v>
      </c>
      <c r="F32" s="72">
        <v>1152</v>
      </c>
      <c r="G32" s="72">
        <v>3606</v>
      </c>
      <c r="H32" s="72">
        <v>26</v>
      </c>
      <c r="I32" s="72">
        <v>360</v>
      </c>
      <c r="J32" s="73">
        <v>1197</v>
      </c>
      <c r="K32" s="54">
        <v>2</v>
      </c>
      <c r="L32" s="72">
        <v>157</v>
      </c>
      <c r="M32" s="72">
        <v>755</v>
      </c>
      <c r="N32" s="72">
        <v>13</v>
      </c>
      <c r="O32" s="72">
        <v>882</v>
      </c>
      <c r="P32" s="72">
        <v>2344</v>
      </c>
      <c r="Q32" s="72">
        <v>62</v>
      </c>
      <c r="R32" s="72">
        <v>878</v>
      </c>
      <c r="S32" s="73">
        <v>2467</v>
      </c>
      <c r="T32" s="54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3">
        <v>0</v>
      </c>
      <c r="AC32" s="54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10</v>
      </c>
      <c r="AJ32" s="72">
        <v>123</v>
      </c>
      <c r="AK32" s="73">
        <v>377</v>
      </c>
      <c r="AL32" s="54">
        <v>166</v>
      </c>
      <c r="AM32" s="72">
        <v>11524</v>
      </c>
      <c r="AN32" s="73">
        <v>37928</v>
      </c>
    </row>
    <row r="33" spans="1:41" ht="16.5" customHeight="1">
      <c r="A33" s="6" t="s">
        <v>24</v>
      </c>
      <c r="B33" s="122">
        <v>8</v>
      </c>
      <c r="C33" s="121">
        <v>1637</v>
      </c>
      <c r="D33" s="121">
        <v>4606</v>
      </c>
      <c r="E33" s="121">
        <v>7</v>
      </c>
      <c r="F33" s="121">
        <v>574</v>
      </c>
      <c r="G33" s="121">
        <v>1569</v>
      </c>
      <c r="H33" s="121">
        <v>8</v>
      </c>
      <c r="I33" s="121">
        <v>131</v>
      </c>
      <c r="J33" s="120">
        <v>389</v>
      </c>
      <c r="K33" s="122">
        <v>2</v>
      </c>
      <c r="L33" s="121">
        <v>342</v>
      </c>
      <c r="M33" s="121">
        <v>969</v>
      </c>
      <c r="N33" s="121">
        <v>16</v>
      </c>
      <c r="O33" s="121">
        <v>1150</v>
      </c>
      <c r="P33" s="121">
        <v>2595</v>
      </c>
      <c r="Q33" s="121">
        <v>69</v>
      </c>
      <c r="R33" s="121">
        <v>1157</v>
      </c>
      <c r="S33" s="120">
        <v>2526</v>
      </c>
      <c r="T33" s="122">
        <v>0</v>
      </c>
      <c r="U33" s="121">
        <v>0</v>
      </c>
      <c r="V33" s="121">
        <v>0</v>
      </c>
      <c r="W33" s="121">
        <v>0</v>
      </c>
      <c r="X33" s="121">
        <v>0</v>
      </c>
      <c r="Y33" s="121">
        <v>0</v>
      </c>
      <c r="Z33" s="121">
        <v>0</v>
      </c>
      <c r="AA33" s="121">
        <v>0</v>
      </c>
      <c r="AB33" s="223">
        <v>0</v>
      </c>
      <c r="AC33" s="221">
        <v>0</v>
      </c>
      <c r="AD33" s="121">
        <v>0</v>
      </c>
      <c r="AE33" s="121">
        <v>0</v>
      </c>
      <c r="AF33" s="121">
        <v>0</v>
      </c>
      <c r="AG33" s="121">
        <v>0</v>
      </c>
      <c r="AH33" s="121">
        <v>0</v>
      </c>
      <c r="AI33" s="121">
        <v>1</v>
      </c>
      <c r="AJ33" s="121">
        <v>3</v>
      </c>
      <c r="AK33" s="120">
        <v>6</v>
      </c>
      <c r="AL33" s="55">
        <v>111</v>
      </c>
      <c r="AM33" s="58">
        <v>4994</v>
      </c>
      <c r="AN33" s="59">
        <v>12660</v>
      </c>
    </row>
    <row r="34" spans="1:41" ht="16.5" customHeight="1">
      <c r="A34" s="5" t="s">
        <v>25</v>
      </c>
      <c r="B34" s="229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1">
        <v>0</v>
      </c>
      <c r="K34" s="229">
        <v>0</v>
      </c>
      <c r="L34" s="230">
        <v>0</v>
      </c>
      <c r="M34" s="230">
        <v>0</v>
      </c>
      <c r="N34" s="230">
        <v>0</v>
      </c>
      <c r="O34" s="230">
        <v>0</v>
      </c>
      <c r="P34" s="230">
        <v>0</v>
      </c>
      <c r="Q34" s="230">
        <v>0</v>
      </c>
      <c r="R34" s="230">
        <v>0</v>
      </c>
      <c r="S34" s="231">
        <v>0</v>
      </c>
      <c r="T34" s="229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  <c r="Z34" s="230">
        <v>0</v>
      </c>
      <c r="AA34" s="230">
        <v>0</v>
      </c>
      <c r="AB34" s="117">
        <v>0</v>
      </c>
      <c r="AC34" s="119">
        <v>0</v>
      </c>
      <c r="AD34" s="230">
        <v>0</v>
      </c>
      <c r="AE34" s="230">
        <v>0</v>
      </c>
      <c r="AF34" s="230">
        <v>0</v>
      </c>
      <c r="AG34" s="230">
        <v>0</v>
      </c>
      <c r="AH34" s="230">
        <v>0</v>
      </c>
      <c r="AI34" s="230">
        <v>0</v>
      </c>
      <c r="AJ34" s="230">
        <v>0</v>
      </c>
      <c r="AK34" s="231">
        <v>0</v>
      </c>
      <c r="AL34" s="51">
        <v>0</v>
      </c>
      <c r="AM34" s="52">
        <v>0</v>
      </c>
      <c r="AN34" s="53">
        <v>0</v>
      </c>
      <c r="AO34" s="220"/>
    </row>
    <row r="35" spans="1:41" ht="16.5" customHeight="1">
      <c r="A35" s="237" t="s">
        <v>54</v>
      </c>
      <c r="B35" s="54">
        <v>8</v>
      </c>
      <c r="C35" s="72">
        <v>1637</v>
      </c>
      <c r="D35" s="72">
        <v>4606</v>
      </c>
      <c r="E35" s="72">
        <v>7</v>
      </c>
      <c r="F35" s="72">
        <v>574</v>
      </c>
      <c r="G35" s="72">
        <v>1569</v>
      </c>
      <c r="H35" s="72">
        <v>8</v>
      </c>
      <c r="I35" s="72">
        <v>131</v>
      </c>
      <c r="J35" s="73">
        <v>389</v>
      </c>
      <c r="K35" s="54">
        <v>2</v>
      </c>
      <c r="L35" s="72">
        <v>342</v>
      </c>
      <c r="M35" s="72">
        <v>969</v>
      </c>
      <c r="N35" s="72">
        <v>16</v>
      </c>
      <c r="O35" s="72">
        <v>1150</v>
      </c>
      <c r="P35" s="72">
        <v>2595</v>
      </c>
      <c r="Q35" s="72">
        <v>69</v>
      </c>
      <c r="R35" s="72">
        <v>1157</v>
      </c>
      <c r="S35" s="73">
        <v>2526</v>
      </c>
      <c r="T35" s="54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3">
        <v>0</v>
      </c>
      <c r="AC35" s="54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1</v>
      </c>
      <c r="AJ35" s="72">
        <v>3</v>
      </c>
      <c r="AK35" s="73">
        <v>6</v>
      </c>
      <c r="AL35" s="54">
        <v>111</v>
      </c>
      <c r="AM35" s="72">
        <v>4994</v>
      </c>
      <c r="AN35" s="73">
        <v>12660</v>
      </c>
    </row>
    <row r="36" spans="1:41" ht="17.25" customHeight="1">
      <c r="A36" s="6" t="s">
        <v>26</v>
      </c>
      <c r="B36" s="221">
        <v>10</v>
      </c>
      <c r="C36" s="222">
        <v>2147</v>
      </c>
      <c r="D36" s="222">
        <v>6682</v>
      </c>
      <c r="E36" s="222">
        <v>5</v>
      </c>
      <c r="F36" s="222">
        <v>380</v>
      </c>
      <c r="G36" s="222">
        <v>884</v>
      </c>
      <c r="H36" s="222">
        <v>8</v>
      </c>
      <c r="I36" s="222">
        <v>96</v>
      </c>
      <c r="J36" s="120">
        <v>281</v>
      </c>
      <c r="K36" s="122">
        <v>0</v>
      </c>
      <c r="L36" s="222">
        <v>0</v>
      </c>
      <c r="M36" s="222">
        <v>0</v>
      </c>
      <c r="N36" s="222">
        <v>18</v>
      </c>
      <c r="O36" s="222">
        <v>1311</v>
      </c>
      <c r="P36" s="222">
        <v>2914</v>
      </c>
      <c r="Q36" s="222">
        <v>41</v>
      </c>
      <c r="R36" s="222">
        <v>760</v>
      </c>
      <c r="S36" s="120">
        <v>1817</v>
      </c>
      <c r="T36" s="122">
        <v>0</v>
      </c>
      <c r="U36" s="222">
        <v>0</v>
      </c>
      <c r="V36" s="222">
        <v>0</v>
      </c>
      <c r="W36" s="222">
        <v>0</v>
      </c>
      <c r="X36" s="222">
        <v>0</v>
      </c>
      <c r="Y36" s="222">
        <v>0</v>
      </c>
      <c r="Z36" s="222">
        <v>0</v>
      </c>
      <c r="AA36" s="222">
        <v>0</v>
      </c>
      <c r="AB36" s="223">
        <v>0</v>
      </c>
      <c r="AC36" s="122">
        <v>0</v>
      </c>
      <c r="AD36" s="222">
        <v>0</v>
      </c>
      <c r="AE36" s="222">
        <v>0</v>
      </c>
      <c r="AF36" s="222">
        <v>0</v>
      </c>
      <c r="AG36" s="222">
        <v>0</v>
      </c>
      <c r="AH36" s="222">
        <v>0</v>
      </c>
      <c r="AI36" s="222">
        <v>0</v>
      </c>
      <c r="AJ36" s="222">
        <v>0</v>
      </c>
      <c r="AK36" s="120">
        <v>0</v>
      </c>
      <c r="AL36" s="60">
        <v>82</v>
      </c>
      <c r="AM36" s="56">
        <v>4694</v>
      </c>
      <c r="AN36" s="57">
        <v>12578</v>
      </c>
      <c r="AO36" s="220"/>
    </row>
    <row r="37" spans="1:41" ht="16.5" customHeight="1">
      <c r="A37" s="5" t="s">
        <v>27</v>
      </c>
      <c r="B37" s="228">
        <v>2</v>
      </c>
      <c r="C37" s="118">
        <v>287</v>
      </c>
      <c r="D37" s="118">
        <v>981</v>
      </c>
      <c r="E37" s="118">
        <v>4</v>
      </c>
      <c r="F37" s="118">
        <v>175</v>
      </c>
      <c r="G37" s="118">
        <v>616</v>
      </c>
      <c r="H37" s="118">
        <v>9</v>
      </c>
      <c r="I37" s="118">
        <v>82</v>
      </c>
      <c r="J37" s="224">
        <v>270</v>
      </c>
      <c r="K37" s="225">
        <v>0</v>
      </c>
      <c r="L37" s="118">
        <v>0</v>
      </c>
      <c r="M37" s="118">
        <v>0</v>
      </c>
      <c r="N37" s="118">
        <v>0</v>
      </c>
      <c r="O37" s="118">
        <v>0</v>
      </c>
      <c r="P37" s="118">
        <v>0</v>
      </c>
      <c r="Q37" s="118">
        <v>16</v>
      </c>
      <c r="R37" s="118">
        <v>173</v>
      </c>
      <c r="S37" s="224">
        <v>350</v>
      </c>
      <c r="T37" s="119">
        <v>0</v>
      </c>
      <c r="U37" s="118">
        <v>0</v>
      </c>
      <c r="V37" s="118">
        <v>0</v>
      </c>
      <c r="W37" s="118">
        <v>0</v>
      </c>
      <c r="X37" s="118">
        <v>0</v>
      </c>
      <c r="Y37" s="118">
        <v>0</v>
      </c>
      <c r="Z37" s="118">
        <v>0</v>
      </c>
      <c r="AA37" s="118">
        <v>0</v>
      </c>
      <c r="AB37" s="226">
        <v>0</v>
      </c>
      <c r="AC37" s="119">
        <v>0</v>
      </c>
      <c r="AD37" s="118">
        <v>0</v>
      </c>
      <c r="AE37" s="118">
        <v>0</v>
      </c>
      <c r="AF37" s="118">
        <v>0</v>
      </c>
      <c r="AG37" s="118">
        <v>0</v>
      </c>
      <c r="AH37" s="118">
        <v>0</v>
      </c>
      <c r="AI37" s="118">
        <v>4</v>
      </c>
      <c r="AJ37" s="118">
        <v>35</v>
      </c>
      <c r="AK37" s="224">
        <v>83</v>
      </c>
      <c r="AL37" s="51">
        <v>35</v>
      </c>
      <c r="AM37" s="52">
        <v>752</v>
      </c>
      <c r="AN37" s="53">
        <v>2300</v>
      </c>
    </row>
    <row r="38" spans="1:41" ht="16.5" customHeight="1">
      <c r="A38" s="5" t="s">
        <v>28</v>
      </c>
      <c r="B38" s="119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117">
        <v>0</v>
      </c>
      <c r="K38" s="119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5</v>
      </c>
      <c r="R38" s="230">
        <v>34</v>
      </c>
      <c r="S38" s="117">
        <v>77</v>
      </c>
      <c r="T38" s="229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Z38" s="230">
        <v>0</v>
      </c>
      <c r="AA38" s="230">
        <v>0</v>
      </c>
      <c r="AB38" s="117">
        <v>0</v>
      </c>
      <c r="AC38" s="229">
        <v>0</v>
      </c>
      <c r="AD38" s="230">
        <v>0</v>
      </c>
      <c r="AE38" s="230">
        <v>0</v>
      </c>
      <c r="AF38" s="230">
        <v>0</v>
      </c>
      <c r="AG38" s="230">
        <v>0</v>
      </c>
      <c r="AH38" s="230">
        <v>0</v>
      </c>
      <c r="AI38" s="230">
        <v>3</v>
      </c>
      <c r="AJ38" s="230">
        <v>23</v>
      </c>
      <c r="AK38" s="117">
        <v>42</v>
      </c>
      <c r="AL38" s="51">
        <v>8</v>
      </c>
      <c r="AM38" s="52">
        <v>57</v>
      </c>
      <c r="AN38" s="53">
        <v>119</v>
      </c>
    </row>
    <row r="39" spans="1:41" ht="16.5" customHeight="1">
      <c r="A39" s="237" t="s">
        <v>55</v>
      </c>
      <c r="B39" s="54">
        <v>12</v>
      </c>
      <c r="C39" s="72">
        <v>2434</v>
      </c>
      <c r="D39" s="72">
        <v>7663</v>
      </c>
      <c r="E39" s="72">
        <v>9</v>
      </c>
      <c r="F39" s="72">
        <v>555</v>
      </c>
      <c r="G39" s="72">
        <v>1500</v>
      </c>
      <c r="H39" s="72">
        <v>17</v>
      </c>
      <c r="I39" s="72">
        <v>178</v>
      </c>
      <c r="J39" s="73">
        <v>551</v>
      </c>
      <c r="K39" s="54">
        <v>0</v>
      </c>
      <c r="L39" s="72">
        <v>0</v>
      </c>
      <c r="M39" s="72">
        <v>0</v>
      </c>
      <c r="N39" s="72">
        <v>18</v>
      </c>
      <c r="O39" s="72">
        <v>1311</v>
      </c>
      <c r="P39" s="72">
        <v>2914</v>
      </c>
      <c r="Q39" s="72">
        <v>62</v>
      </c>
      <c r="R39" s="72">
        <v>967</v>
      </c>
      <c r="S39" s="73">
        <v>2244</v>
      </c>
      <c r="T39" s="54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3">
        <v>0</v>
      </c>
      <c r="AC39" s="54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7</v>
      </c>
      <c r="AJ39" s="72">
        <v>58</v>
      </c>
      <c r="AK39" s="73">
        <v>125</v>
      </c>
      <c r="AL39" s="54">
        <v>125</v>
      </c>
      <c r="AM39" s="72">
        <v>5503</v>
      </c>
      <c r="AN39" s="73">
        <v>14997</v>
      </c>
      <c r="AO39" s="220"/>
    </row>
    <row r="40" spans="1:41" ht="16.5" customHeight="1">
      <c r="A40" s="4" t="s">
        <v>29</v>
      </c>
      <c r="B40" s="122">
        <v>1</v>
      </c>
      <c r="C40" s="222">
        <v>142</v>
      </c>
      <c r="D40" s="222">
        <v>1006</v>
      </c>
      <c r="E40" s="222">
        <v>2</v>
      </c>
      <c r="F40" s="222">
        <v>164</v>
      </c>
      <c r="G40" s="222">
        <v>445</v>
      </c>
      <c r="H40" s="222">
        <v>0</v>
      </c>
      <c r="I40" s="222">
        <v>0</v>
      </c>
      <c r="J40" s="223">
        <v>0</v>
      </c>
      <c r="K40" s="221">
        <v>0</v>
      </c>
      <c r="L40" s="121">
        <v>0</v>
      </c>
      <c r="M40" s="121">
        <v>0</v>
      </c>
      <c r="N40" s="121">
        <v>1</v>
      </c>
      <c r="O40" s="121">
        <v>48</v>
      </c>
      <c r="P40" s="121">
        <v>100</v>
      </c>
      <c r="Q40" s="121">
        <v>4</v>
      </c>
      <c r="R40" s="121">
        <v>23</v>
      </c>
      <c r="S40" s="223">
        <v>58</v>
      </c>
      <c r="T40" s="221">
        <v>0</v>
      </c>
      <c r="U40" s="222">
        <v>0</v>
      </c>
      <c r="V40" s="222">
        <v>0</v>
      </c>
      <c r="W40" s="222">
        <v>0</v>
      </c>
      <c r="X40" s="222">
        <v>0</v>
      </c>
      <c r="Y40" s="222">
        <v>0</v>
      </c>
      <c r="Z40" s="222">
        <v>0</v>
      </c>
      <c r="AA40" s="222">
        <v>0</v>
      </c>
      <c r="AB40" s="223">
        <v>0</v>
      </c>
      <c r="AC40" s="221">
        <v>0</v>
      </c>
      <c r="AD40" s="121">
        <v>0</v>
      </c>
      <c r="AE40" s="121">
        <v>0</v>
      </c>
      <c r="AF40" s="121">
        <v>0</v>
      </c>
      <c r="AG40" s="121">
        <v>0</v>
      </c>
      <c r="AH40" s="121">
        <v>0</v>
      </c>
      <c r="AI40" s="121">
        <v>0</v>
      </c>
      <c r="AJ40" s="121">
        <v>0</v>
      </c>
      <c r="AK40" s="223">
        <v>0</v>
      </c>
      <c r="AL40" s="60">
        <v>8</v>
      </c>
      <c r="AM40" s="58">
        <v>377</v>
      </c>
      <c r="AN40" s="59">
        <v>1609</v>
      </c>
    </row>
    <row r="41" spans="1:41" ht="16.5" customHeight="1">
      <c r="A41" s="5" t="s">
        <v>30</v>
      </c>
      <c r="B41" s="225">
        <v>0</v>
      </c>
      <c r="C41" s="118">
        <v>0</v>
      </c>
      <c r="D41" s="118">
        <v>0</v>
      </c>
      <c r="E41" s="118">
        <v>1</v>
      </c>
      <c r="F41" s="118">
        <v>57</v>
      </c>
      <c r="G41" s="118">
        <v>136</v>
      </c>
      <c r="H41" s="118">
        <v>1</v>
      </c>
      <c r="I41" s="118">
        <v>7</v>
      </c>
      <c r="J41" s="226">
        <v>20</v>
      </c>
      <c r="K41" s="119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1</v>
      </c>
      <c r="R41" s="230">
        <v>8</v>
      </c>
      <c r="S41" s="117">
        <v>30</v>
      </c>
      <c r="T41" s="228">
        <v>0</v>
      </c>
      <c r="U41" s="118">
        <v>0</v>
      </c>
      <c r="V41" s="118">
        <v>0</v>
      </c>
      <c r="W41" s="118">
        <v>0</v>
      </c>
      <c r="X41" s="118">
        <v>0</v>
      </c>
      <c r="Y41" s="118">
        <v>0</v>
      </c>
      <c r="Z41" s="118">
        <v>0</v>
      </c>
      <c r="AA41" s="118">
        <v>0</v>
      </c>
      <c r="AB41" s="117">
        <v>0</v>
      </c>
      <c r="AC41" s="119">
        <v>0</v>
      </c>
      <c r="AD41" s="227">
        <v>0</v>
      </c>
      <c r="AE41" s="227">
        <v>0</v>
      </c>
      <c r="AF41" s="227">
        <v>0</v>
      </c>
      <c r="AG41" s="227">
        <v>0</v>
      </c>
      <c r="AH41" s="227">
        <v>0</v>
      </c>
      <c r="AI41" s="227">
        <v>0</v>
      </c>
      <c r="AJ41" s="227">
        <v>0</v>
      </c>
      <c r="AK41" s="117">
        <v>0</v>
      </c>
      <c r="AL41" s="51">
        <v>3</v>
      </c>
      <c r="AM41" s="52">
        <v>72</v>
      </c>
      <c r="AN41" s="53">
        <v>186</v>
      </c>
      <c r="AO41" s="220"/>
    </row>
    <row r="42" spans="1:41" ht="16.5" customHeight="1">
      <c r="A42" s="5" t="s">
        <v>31</v>
      </c>
      <c r="B42" s="119">
        <v>0</v>
      </c>
      <c r="C42" s="227">
        <v>0</v>
      </c>
      <c r="D42" s="227">
        <v>0</v>
      </c>
      <c r="E42" s="227">
        <v>0</v>
      </c>
      <c r="F42" s="227">
        <v>0</v>
      </c>
      <c r="G42" s="227">
        <v>0</v>
      </c>
      <c r="H42" s="227">
        <v>3</v>
      </c>
      <c r="I42" s="227">
        <v>30</v>
      </c>
      <c r="J42" s="226">
        <v>98</v>
      </c>
      <c r="K42" s="225">
        <v>0</v>
      </c>
      <c r="L42" s="227">
        <v>0</v>
      </c>
      <c r="M42" s="227">
        <v>0</v>
      </c>
      <c r="N42" s="227">
        <v>0</v>
      </c>
      <c r="O42" s="227">
        <v>0</v>
      </c>
      <c r="P42" s="227">
        <v>0</v>
      </c>
      <c r="Q42" s="227">
        <v>11</v>
      </c>
      <c r="R42" s="227">
        <v>67</v>
      </c>
      <c r="S42" s="117">
        <v>207</v>
      </c>
      <c r="T42" s="119">
        <v>0</v>
      </c>
      <c r="U42" s="227">
        <v>0</v>
      </c>
      <c r="V42" s="227">
        <v>0</v>
      </c>
      <c r="W42" s="227">
        <v>0</v>
      </c>
      <c r="X42" s="227">
        <v>0</v>
      </c>
      <c r="Y42" s="227">
        <v>0</v>
      </c>
      <c r="Z42" s="227">
        <v>0</v>
      </c>
      <c r="AA42" s="227">
        <v>0</v>
      </c>
      <c r="AB42" s="117">
        <v>0</v>
      </c>
      <c r="AC42" s="229">
        <v>0</v>
      </c>
      <c r="AD42" s="118">
        <v>0</v>
      </c>
      <c r="AE42" s="118">
        <v>0</v>
      </c>
      <c r="AF42" s="118">
        <v>0</v>
      </c>
      <c r="AG42" s="118">
        <v>0</v>
      </c>
      <c r="AH42" s="118">
        <v>0</v>
      </c>
      <c r="AI42" s="118">
        <v>0</v>
      </c>
      <c r="AJ42" s="118">
        <v>0</v>
      </c>
      <c r="AK42" s="231">
        <v>0</v>
      </c>
      <c r="AL42" s="51">
        <v>14</v>
      </c>
      <c r="AM42" s="52">
        <v>97</v>
      </c>
      <c r="AN42" s="53">
        <v>305</v>
      </c>
    </row>
    <row r="43" spans="1:41" ht="16.5" customHeight="1">
      <c r="A43" s="5" t="s">
        <v>32</v>
      </c>
      <c r="B43" s="119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7">
        <v>0</v>
      </c>
      <c r="K43" s="119">
        <v>0</v>
      </c>
      <c r="L43" s="118">
        <v>0</v>
      </c>
      <c r="M43" s="118">
        <v>0</v>
      </c>
      <c r="N43" s="118">
        <v>0</v>
      </c>
      <c r="O43" s="118">
        <v>0</v>
      </c>
      <c r="P43" s="118">
        <v>0</v>
      </c>
      <c r="Q43" s="118">
        <v>0</v>
      </c>
      <c r="R43" s="118">
        <v>0</v>
      </c>
      <c r="S43" s="224">
        <v>0</v>
      </c>
      <c r="T43" s="119">
        <v>0</v>
      </c>
      <c r="U43" s="118">
        <v>0</v>
      </c>
      <c r="V43" s="118">
        <v>0</v>
      </c>
      <c r="W43" s="118">
        <v>0</v>
      </c>
      <c r="X43" s="118">
        <v>0</v>
      </c>
      <c r="Y43" s="118">
        <v>0</v>
      </c>
      <c r="Z43" s="118">
        <v>0</v>
      </c>
      <c r="AA43" s="118">
        <v>0</v>
      </c>
      <c r="AB43" s="231">
        <v>0</v>
      </c>
      <c r="AC43" s="119">
        <v>0</v>
      </c>
      <c r="AD43" s="227">
        <v>0</v>
      </c>
      <c r="AE43" s="227">
        <v>0</v>
      </c>
      <c r="AF43" s="227">
        <v>0</v>
      </c>
      <c r="AG43" s="227">
        <v>0</v>
      </c>
      <c r="AH43" s="227">
        <v>0</v>
      </c>
      <c r="AI43" s="227">
        <v>0</v>
      </c>
      <c r="AJ43" s="227">
        <v>0</v>
      </c>
      <c r="AK43" s="117">
        <v>0</v>
      </c>
      <c r="AL43" s="51">
        <v>0</v>
      </c>
      <c r="AM43" s="52">
        <v>0</v>
      </c>
      <c r="AN43" s="53">
        <v>0</v>
      </c>
      <c r="AO43" s="220"/>
    </row>
    <row r="44" spans="1:41" ht="16.5" customHeight="1">
      <c r="A44" s="5" t="s">
        <v>33</v>
      </c>
      <c r="B44" s="119">
        <v>0</v>
      </c>
      <c r="C44" s="227">
        <v>0</v>
      </c>
      <c r="D44" s="227">
        <v>0</v>
      </c>
      <c r="E44" s="227">
        <v>0</v>
      </c>
      <c r="F44" s="227">
        <v>0</v>
      </c>
      <c r="G44" s="227">
        <v>0</v>
      </c>
      <c r="H44" s="227">
        <v>0</v>
      </c>
      <c r="I44" s="227">
        <v>0</v>
      </c>
      <c r="J44" s="117">
        <v>0</v>
      </c>
      <c r="K44" s="225">
        <v>0</v>
      </c>
      <c r="L44" s="118">
        <v>0</v>
      </c>
      <c r="M44" s="118">
        <v>0</v>
      </c>
      <c r="N44" s="118">
        <v>0</v>
      </c>
      <c r="O44" s="118">
        <v>0</v>
      </c>
      <c r="P44" s="118">
        <v>0</v>
      </c>
      <c r="Q44" s="118">
        <v>0</v>
      </c>
      <c r="R44" s="118">
        <v>0</v>
      </c>
      <c r="S44" s="226">
        <v>0</v>
      </c>
      <c r="T44" s="119">
        <v>0</v>
      </c>
      <c r="U44" s="118">
        <v>0</v>
      </c>
      <c r="V44" s="118">
        <v>0</v>
      </c>
      <c r="W44" s="118">
        <v>0</v>
      </c>
      <c r="X44" s="118">
        <v>0</v>
      </c>
      <c r="Y44" s="118">
        <v>0</v>
      </c>
      <c r="Z44" s="118">
        <v>0</v>
      </c>
      <c r="AA44" s="118">
        <v>0</v>
      </c>
      <c r="AB44" s="224">
        <v>0</v>
      </c>
      <c r="AC44" s="119">
        <v>0</v>
      </c>
      <c r="AD44" s="118">
        <v>0</v>
      </c>
      <c r="AE44" s="118">
        <v>0</v>
      </c>
      <c r="AF44" s="118">
        <v>0</v>
      </c>
      <c r="AG44" s="118">
        <v>0</v>
      </c>
      <c r="AH44" s="118">
        <v>0</v>
      </c>
      <c r="AI44" s="118">
        <v>0</v>
      </c>
      <c r="AJ44" s="118">
        <v>0</v>
      </c>
      <c r="AK44" s="117">
        <v>0</v>
      </c>
      <c r="AL44" s="51">
        <v>0</v>
      </c>
      <c r="AM44" s="52">
        <v>0</v>
      </c>
      <c r="AN44" s="53">
        <v>0</v>
      </c>
      <c r="AO44" s="220"/>
    </row>
    <row r="45" spans="1:41" ht="16.5" customHeight="1">
      <c r="A45" s="5" t="s">
        <v>34</v>
      </c>
      <c r="B45" s="225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7">
        <v>0</v>
      </c>
      <c r="K45" s="119">
        <v>0</v>
      </c>
      <c r="L45" s="227">
        <v>0</v>
      </c>
      <c r="M45" s="227">
        <v>0</v>
      </c>
      <c r="N45" s="227">
        <v>1</v>
      </c>
      <c r="O45" s="227">
        <v>51</v>
      </c>
      <c r="P45" s="227">
        <v>100</v>
      </c>
      <c r="Q45" s="227">
        <v>4</v>
      </c>
      <c r="R45" s="227">
        <v>75</v>
      </c>
      <c r="S45" s="117">
        <v>130</v>
      </c>
      <c r="T45" s="225">
        <v>0</v>
      </c>
      <c r="U45" s="230">
        <v>0</v>
      </c>
      <c r="V45" s="230">
        <v>0</v>
      </c>
      <c r="W45" s="230">
        <v>0</v>
      </c>
      <c r="X45" s="230">
        <v>0</v>
      </c>
      <c r="Y45" s="230">
        <v>0</v>
      </c>
      <c r="Z45" s="230">
        <v>0</v>
      </c>
      <c r="AA45" s="230">
        <v>0</v>
      </c>
      <c r="AB45" s="117">
        <v>0</v>
      </c>
      <c r="AC45" s="228">
        <v>0</v>
      </c>
      <c r="AD45" s="227">
        <v>0</v>
      </c>
      <c r="AE45" s="227">
        <v>0</v>
      </c>
      <c r="AF45" s="227">
        <v>0</v>
      </c>
      <c r="AG45" s="227">
        <v>0</v>
      </c>
      <c r="AH45" s="227">
        <v>0</v>
      </c>
      <c r="AI45" s="227">
        <v>0</v>
      </c>
      <c r="AJ45" s="227">
        <v>0</v>
      </c>
      <c r="AK45" s="231">
        <v>0</v>
      </c>
      <c r="AL45" s="51">
        <v>5</v>
      </c>
      <c r="AM45" s="52">
        <v>126</v>
      </c>
      <c r="AN45" s="53">
        <v>230</v>
      </c>
    </row>
    <row r="46" spans="1:41" ht="16.5" customHeight="1">
      <c r="A46" s="5" t="s">
        <v>35</v>
      </c>
      <c r="B46" s="119">
        <v>0</v>
      </c>
      <c r="C46" s="227">
        <v>0</v>
      </c>
      <c r="D46" s="227">
        <v>0</v>
      </c>
      <c r="E46" s="227">
        <v>0</v>
      </c>
      <c r="F46" s="227">
        <v>0</v>
      </c>
      <c r="G46" s="227">
        <v>0</v>
      </c>
      <c r="H46" s="227">
        <v>0</v>
      </c>
      <c r="I46" s="227">
        <v>0</v>
      </c>
      <c r="J46" s="117">
        <v>0</v>
      </c>
      <c r="K46" s="225">
        <v>0</v>
      </c>
      <c r="L46" s="118">
        <v>0</v>
      </c>
      <c r="M46" s="118">
        <v>0</v>
      </c>
      <c r="N46" s="118">
        <v>0</v>
      </c>
      <c r="O46" s="118">
        <v>0</v>
      </c>
      <c r="P46" s="118">
        <v>0</v>
      </c>
      <c r="Q46" s="118">
        <v>1</v>
      </c>
      <c r="R46" s="118">
        <v>45</v>
      </c>
      <c r="S46" s="224">
        <v>70</v>
      </c>
      <c r="T46" s="119">
        <v>0</v>
      </c>
      <c r="U46" s="227">
        <v>0</v>
      </c>
      <c r="V46" s="227">
        <v>0</v>
      </c>
      <c r="W46" s="227">
        <v>0</v>
      </c>
      <c r="X46" s="227">
        <v>0</v>
      </c>
      <c r="Y46" s="227">
        <v>0</v>
      </c>
      <c r="Z46" s="227">
        <v>0</v>
      </c>
      <c r="AA46" s="227">
        <v>0</v>
      </c>
      <c r="AB46" s="117">
        <v>0</v>
      </c>
      <c r="AC46" s="228">
        <v>0</v>
      </c>
      <c r="AD46" s="118">
        <v>0</v>
      </c>
      <c r="AE46" s="118">
        <v>0</v>
      </c>
      <c r="AF46" s="118">
        <v>0</v>
      </c>
      <c r="AG46" s="118">
        <v>0</v>
      </c>
      <c r="AH46" s="118">
        <v>0</v>
      </c>
      <c r="AI46" s="118">
        <v>0</v>
      </c>
      <c r="AJ46" s="118">
        <v>0</v>
      </c>
      <c r="AK46" s="224">
        <v>0</v>
      </c>
      <c r="AL46" s="51">
        <v>1</v>
      </c>
      <c r="AM46" s="52">
        <v>45</v>
      </c>
      <c r="AN46" s="53">
        <v>70</v>
      </c>
      <c r="AO46" s="220"/>
    </row>
    <row r="47" spans="1:41" ht="16.5" customHeight="1">
      <c r="A47" s="5" t="s">
        <v>36</v>
      </c>
      <c r="B47" s="229">
        <v>0</v>
      </c>
      <c r="C47" s="118">
        <v>0</v>
      </c>
      <c r="D47" s="118">
        <v>0</v>
      </c>
      <c r="E47" s="118">
        <v>1</v>
      </c>
      <c r="F47" s="118">
        <v>33</v>
      </c>
      <c r="G47" s="118">
        <v>116</v>
      </c>
      <c r="H47" s="118">
        <v>0</v>
      </c>
      <c r="I47" s="118">
        <v>0</v>
      </c>
      <c r="J47" s="224">
        <v>0</v>
      </c>
      <c r="K47" s="119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3</v>
      </c>
      <c r="R47" s="230">
        <v>49</v>
      </c>
      <c r="S47" s="226">
        <v>129</v>
      </c>
      <c r="T47" s="229">
        <v>0</v>
      </c>
      <c r="U47" s="118">
        <v>0</v>
      </c>
      <c r="V47" s="118">
        <v>0</v>
      </c>
      <c r="W47" s="118">
        <v>0</v>
      </c>
      <c r="X47" s="118">
        <v>0</v>
      </c>
      <c r="Y47" s="118">
        <v>0</v>
      </c>
      <c r="Z47" s="118">
        <v>0</v>
      </c>
      <c r="AA47" s="118">
        <v>0</v>
      </c>
      <c r="AB47" s="117">
        <v>0</v>
      </c>
      <c r="AC47" s="228">
        <v>0</v>
      </c>
      <c r="AD47" s="227">
        <v>0</v>
      </c>
      <c r="AE47" s="227">
        <v>0</v>
      </c>
      <c r="AF47" s="227">
        <v>0</v>
      </c>
      <c r="AG47" s="227">
        <v>0</v>
      </c>
      <c r="AH47" s="227">
        <v>0</v>
      </c>
      <c r="AI47" s="227">
        <v>1</v>
      </c>
      <c r="AJ47" s="227">
        <v>9</v>
      </c>
      <c r="AK47" s="117">
        <v>13</v>
      </c>
      <c r="AL47" s="51">
        <v>5</v>
      </c>
      <c r="AM47" s="52">
        <v>91</v>
      </c>
      <c r="AN47" s="53">
        <v>258</v>
      </c>
      <c r="AO47" s="220"/>
    </row>
    <row r="48" spans="1:41" ht="16.5" customHeight="1">
      <c r="A48" s="5" t="s">
        <v>37</v>
      </c>
      <c r="B48" s="229">
        <v>0</v>
      </c>
      <c r="C48" s="118">
        <v>0</v>
      </c>
      <c r="D48" s="118">
        <v>0</v>
      </c>
      <c r="E48" s="118">
        <v>0</v>
      </c>
      <c r="F48" s="118">
        <v>0</v>
      </c>
      <c r="G48" s="118">
        <v>0</v>
      </c>
      <c r="H48" s="118">
        <v>0</v>
      </c>
      <c r="I48" s="118">
        <v>0</v>
      </c>
      <c r="J48" s="117">
        <v>0</v>
      </c>
      <c r="K48" s="119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3</v>
      </c>
      <c r="R48" s="230">
        <v>52</v>
      </c>
      <c r="S48" s="226">
        <v>101</v>
      </c>
      <c r="T48" s="225">
        <v>0</v>
      </c>
      <c r="U48" s="227">
        <v>0</v>
      </c>
      <c r="V48" s="227">
        <v>0</v>
      </c>
      <c r="W48" s="227">
        <v>0</v>
      </c>
      <c r="X48" s="227">
        <v>0</v>
      </c>
      <c r="Y48" s="227">
        <v>0</v>
      </c>
      <c r="Z48" s="227">
        <v>0</v>
      </c>
      <c r="AA48" s="227">
        <v>0</v>
      </c>
      <c r="AB48" s="231">
        <v>0</v>
      </c>
      <c r="AC48" s="228">
        <v>0</v>
      </c>
      <c r="AD48" s="232">
        <v>0</v>
      </c>
      <c r="AE48" s="118">
        <v>0</v>
      </c>
      <c r="AF48" s="118">
        <v>0</v>
      </c>
      <c r="AG48" s="118">
        <v>0</v>
      </c>
      <c r="AH48" s="118">
        <v>0</v>
      </c>
      <c r="AI48" s="118">
        <v>0</v>
      </c>
      <c r="AJ48" s="118">
        <v>0</v>
      </c>
      <c r="AK48" s="226">
        <v>0</v>
      </c>
      <c r="AL48" s="51">
        <v>3</v>
      </c>
      <c r="AM48" s="52">
        <v>52</v>
      </c>
      <c r="AN48" s="53">
        <v>101</v>
      </c>
      <c r="AO48" s="220"/>
    </row>
    <row r="49" spans="1:41" ht="16.5" customHeight="1">
      <c r="A49" s="5" t="s">
        <v>38</v>
      </c>
      <c r="B49" s="229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</v>
      </c>
      <c r="J49" s="231">
        <v>0</v>
      </c>
      <c r="K49" s="229">
        <v>0</v>
      </c>
      <c r="L49" s="230">
        <v>0</v>
      </c>
      <c r="M49" s="230">
        <v>0</v>
      </c>
      <c r="N49" s="230">
        <v>0</v>
      </c>
      <c r="O49" s="230">
        <v>0</v>
      </c>
      <c r="P49" s="230">
        <v>0</v>
      </c>
      <c r="Q49" s="230">
        <v>1</v>
      </c>
      <c r="R49" s="230">
        <v>19</v>
      </c>
      <c r="S49" s="117">
        <v>41</v>
      </c>
      <c r="T49" s="119">
        <v>0</v>
      </c>
      <c r="U49" s="118">
        <v>0</v>
      </c>
      <c r="V49" s="118">
        <v>0</v>
      </c>
      <c r="W49" s="118">
        <v>0</v>
      </c>
      <c r="X49" s="118">
        <v>0</v>
      </c>
      <c r="Y49" s="118">
        <v>0</v>
      </c>
      <c r="Z49" s="118">
        <v>0</v>
      </c>
      <c r="AA49" s="118">
        <v>0</v>
      </c>
      <c r="AB49" s="231">
        <v>0</v>
      </c>
      <c r="AC49" s="119">
        <v>0</v>
      </c>
      <c r="AD49" s="118">
        <v>0</v>
      </c>
      <c r="AE49" s="230">
        <v>0</v>
      </c>
      <c r="AF49" s="230">
        <v>0</v>
      </c>
      <c r="AG49" s="230">
        <v>0</v>
      </c>
      <c r="AH49" s="230">
        <v>0</v>
      </c>
      <c r="AI49" s="230">
        <v>3</v>
      </c>
      <c r="AJ49" s="230">
        <v>39</v>
      </c>
      <c r="AK49" s="117">
        <v>106</v>
      </c>
      <c r="AL49" s="51">
        <v>4</v>
      </c>
      <c r="AM49" s="52">
        <v>58</v>
      </c>
      <c r="AN49" s="53">
        <v>147</v>
      </c>
      <c r="AO49" s="220"/>
    </row>
    <row r="50" spans="1:41" ht="16.5" customHeight="1">
      <c r="A50" s="237" t="s">
        <v>56</v>
      </c>
      <c r="B50" s="54">
        <v>1</v>
      </c>
      <c r="C50" s="72">
        <v>142</v>
      </c>
      <c r="D50" s="72">
        <v>1006</v>
      </c>
      <c r="E50" s="72">
        <v>4</v>
      </c>
      <c r="F50" s="72">
        <v>254</v>
      </c>
      <c r="G50" s="72">
        <v>697</v>
      </c>
      <c r="H50" s="72">
        <v>4</v>
      </c>
      <c r="I50" s="72">
        <v>37</v>
      </c>
      <c r="J50" s="73">
        <v>118</v>
      </c>
      <c r="K50" s="54">
        <v>0</v>
      </c>
      <c r="L50" s="72">
        <v>0</v>
      </c>
      <c r="M50" s="72">
        <v>0</v>
      </c>
      <c r="N50" s="72">
        <v>2</v>
      </c>
      <c r="O50" s="72">
        <v>99</v>
      </c>
      <c r="P50" s="72">
        <v>200</v>
      </c>
      <c r="Q50" s="72">
        <v>28</v>
      </c>
      <c r="R50" s="72">
        <v>338</v>
      </c>
      <c r="S50" s="73">
        <v>766</v>
      </c>
      <c r="T50" s="54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3">
        <v>0</v>
      </c>
      <c r="AC50" s="54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4</v>
      </c>
      <c r="AJ50" s="72">
        <v>48</v>
      </c>
      <c r="AK50" s="73">
        <v>119</v>
      </c>
      <c r="AL50" s="54">
        <v>43</v>
      </c>
      <c r="AM50" s="72">
        <v>918</v>
      </c>
      <c r="AN50" s="73">
        <v>2906</v>
      </c>
      <c r="AO50" s="220"/>
    </row>
    <row r="51" spans="1:41" ht="16.5" customHeight="1">
      <c r="A51" s="238" t="s">
        <v>57</v>
      </c>
      <c r="B51" s="61">
        <v>75</v>
      </c>
      <c r="C51" s="62">
        <v>17334</v>
      </c>
      <c r="D51" s="62">
        <v>56456</v>
      </c>
      <c r="E51" s="62">
        <v>54</v>
      </c>
      <c r="F51" s="62">
        <v>3355</v>
      </c>
      <c r="G51" s="62">
        <v>10029</v>
      </c>
      <c r="H51" s="62">
        <v>67</v>
      </c>
      <c r="I51" s="62">
        <v>923</v>
      </c>
      <c r="J51" s="63">
        <v>2879</v>
      </c>
      <c r="K51" s="61">
        <v>31</v>
      </c>
      <c r="L51" s="62">
        <v>6039</v>
      </c>
      <c r="M51" s="62">
        <v>14563</v>
      </c>
      <c r="N51" s="62">
        <v>130</v>
      </c>
      <c r="O51" s="62">
        <v>9772</v>
      </c>
      <c r="P51" s="62">
        <v>22092</v>
      </c>
      <c r="Q51" s="62">
        <v>490</v>
      </c>
      <c r="R51" s="62">
        <v>7821</v>
      </c>
      <c r="S51" s="63">
        <v>19208</v>
      </c>
      <c r="T51" s="61">
        <v>26</v>
      </c>
      <c r="U51" s="62">
        <v>6176</v>
      </c>
      <c r="V51" s="62">
        <v>15839</v>
      </c>
      <c r="W51" s="62">
        <v>10</v>
      </c>
      <c r="X51" s="62">
        <v>908</v>
      </c>
      <c r="Y51" s="62">
        <v>2269</v>
      </c>
      <c r="Z51" s="62">
        <v>2</v>
      </c>
      <c r="AA51" s="62">
        <v>15</v>
      </c>
      <c r="AB51" s="63">
        <v>48</v>
      </c>
      <c r="AC51" s="61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23</v>
      </c>
      <c r="AJ51" s="62">
        <v>244</v>
      </c>
      <c r="AK51" s="63">
        <v>639</v>
      </c>
      <c r="AL51" s="64">
        <v>908</v>
      </c>
      <c r="AM51" s="65">
        <v>52587</v>
      </c>
      <c r="AN51" s="66">
        <v>144022</v>
      </c>
    </row>
    <row r="52" spans="1:41" ht="3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50"/>
      <c r="AM52" s="50"/>
      <c r="AN52" s="50"/>
    </row>
    <row r="53" spans="1:41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50"/>
      <c r="AM53" s="50"/>
      <c r="AN53" s="50"/>
    </row>
    <row r="54" spans="1:41">
      <c r="AL54" s="50"/>
      <c r="AM54" s="50"/>
      <c r="AN54" s="50"/>
    </row>
    <row r="55" spans="1:41">
      <c r="B55" s="50"/>
      <c r="C55" s="50"/>
      <c r="D55" s="50"/>
    </row>
  </sheetData>
  <mergeCells count="19">
    <mergeCell ref="W2:Y2"/>
    <mergeCell ref="Z2:AB2"/>
    <mergeCell ref="T1:AB1"/>
    <mergeCell ref="AL1:AN1"/>
    <mergeCell ref="AL2:AN2"/>
    <mergeCell ref="B1:J1"/>
    <mergeCell ref="K1:S1"/>
    <mergeCell ref="A2:A3"/>
    <mergeCell ref="B2:D2"/>
    <mergeCell ref="E2:G2"/>
    <mergeCell ref="H2:J2"/>
    <mergeCell ref="K2:M2"/>
    <mergeCell ref="N2:P2"/>
    <mergeCell ref="Q2:S2"/>
    <mergeCell ref="T2:V2"/>
    <mergeCell ref="AC1:AK1"/>
    <mergeCell ref="AC2:AE2"/>
    <mergeCell ref="AF2:AH2"/>
    <mergeCell ref="AI2:AK2"/>
  </mergeCells>
  <phoneticPr fontId="5"/>
  <printOptions horizontalCentered="1"/>
  <pageMargins left="0.78740157480314965" right="0.59055118110236227" top="0.51181102362204722" bottom="0" header="0" footer="0"/>
  <pageSetup paperSize="9" scale="59" orientation="landscape" r:id="rId1"/>
  <headerFooter scaleWithDoc="0" alignWithMargins="0">
    <oddFooter>&amp;C7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CCFF"/>
  </sheetPr>
  <dimension ref="A1:B49"/>
  <sheetViews>
    <sheetView showGridLines="0" tabSelected="1" workbookViewId="0">
      <selection activeCell="L42" sqref="L42"/>
    </sheetView>
  </sheetViews>
  <sheetFormatPr defaultColWidth="9" defaultRowHeight="13.2"/>
  <cols>
    <col min="1" max="1" width="9" style="114"/>
    <col min="2" max="2" width="14.77734375" style="114" bestFit="1" customWidth="1"/>
    <col min="3" max="3" width="9" style="113"/>
    <col min="4" max="4" width="3.21875" style="113" customWidth="1"/>
    <col min="5" max="6" width="9" style="113" customWidth="1"/>
    <col min="7" max="16384" width="9" style="113"/>
  </cols>
  <sheetData>
    <row r="1" spans="1:2">
      <c r="A1" s="235"/>
      <c r="B1" s="240" t="s">
        <v>69</v>
      </c>
    </row>
    <row r="2" spans="1:2">
      <c r="A2" s="68" t="s">
        <v>39</v>
      </c>
      <c r="B2" s="116">
        <v>8</v>
      </c>
    </row>
    <row r="3" spans="1:2">
      <c r="A3" s="5" t="s">
        <v>0</v>
      </c>
      <c r="B3" s="116">
        <v>5</v>
      </c>
    </row>
    <row r="4" spans="1:2">
      <c r="A4" s="5" t="s">
        <v>1</v>
      </c>
      <c r="B4" s="116"/>
    </row>
    <row r="5" spans="1:2">
      <c r="A5" s="5" t="s">
        <v>2</v>
      </c>
      <c r="B5" s="116">
        <v>1</v>
      </c>
    </row>
    <row r="6" spans="1:2">
      <c r="A6" s="5" t="s">
        <v>3</v>
      </c>
      <c r="B6" s="116">
        <v>6</v>
      </c>
    </row>
    <row r="7" spans="1:2">
      <c r="A7" s="5" t="s">
        <v>4</v>
      </c>
      <c r="B7" s="116">
        <v>3</v>
      </c>
    </row>
    <row r="8" spans="1:2">
      <c r="A8" s="5" t="s">
        <v>5</v>
      </c>
      <c r="B8" s="116">
        <v>1</v>
      </c>
    </row>
    <row r="9" spans="1:2">
      <c r="A9" s="237" t="s">
        <v>51</v>
      </c>
      <c r="B9" s="115">
        <f>SUM(B2:B8)</f>
        <v>24</v>
      </c>
    </row>
    <row r="10" spans="1:2">
      <c r="A10" s="6" t="s">
        <v>6</v>
      </c>
      <c r="B10" s="116">
        <v>1</v>
      </c>
    </row>
    <row r="11" spans="1:2">
      <c r="A11" s="5" t="s">
        <v>7</v>
      </c>
      <c r="B11" s="116">
        <v>1</v>
      </c>
    </row>
    <row r="12" spans="1:2">
      <c r="A12" s="5" t="s">
        <v>8</v>
      </c>
      <c r="B12" s="116">
        <v>1</v>
      </c>
    </row>
    <row r="13" spans="1:2">
      <c r="A13" s="5" t="s">
        <v>9</v>
      </c>
      <c r="B13" s="116">
        <v>5</v>
      </c>
    </row>
    <row r="14" spans="1:2">
      <c r="A14" s="5" t="s">
        <v>10</v>
      </c>
      <c r="B14" s="116">
        <v>11</v>
      </c>
    </row>
    <row r="15" spans="1:2">
      <c r="A15" s="5" t="s">
        <v>11</v>
      </c>
      <c r="B15" s="116"/>
    </row>
    <row r="16" spans="1:2">
      <c r="A16" s="5" t="s">
        <v>12</v>
      </c>
      <c r="B16" s="116">
        <v>3</v>
      </c>
    </row>
    <row r="17" spans="1:2">
      <c r="A17" s="5" t="s">
        <v>13</v>
      </c>
      <c r="B17" s="116">
        <v>2</v>
      </c>
    </row>
    <row r="18" spans="1:2">
      <c r="A18" s="5" t="s">
        <v>14</v>
      </c>
      <c r="B18" s="116"/>
    </row>
    <row r="19" spans="1:2">
      <c r="A19" s="5" t="s">
        <v>15</v>
      </c>
      <c r="B19" s="116">
        <v>1</v>
      </c>
    </row>
    <row r="20" spans="1:2">
      <c r="A20" s="237" t="s">
        <v>52</v>
      </c>
      <c r="B20" s="115">
        <f>SUM(B10:B19)</f>
        <v>25</v>
      </c>
    </row>
    <row r="21" spans="1:2">
      <c r="A21" s="6" t="s">
        <v>16</v>
      </c>
      <c r="B21" s="116">
        <v>7</v>
      </c>
    </row>
    <row r="22" spans="1:2">
      <c r="A22" s="5" t="s">
        <v>17</v>
      </c>
      <c r="B22" s="116">
        <v>1</v>
      </c>
    </row>
    <row r="23" spans="1:2">
      <c r="A23" s="5" t="s">
        <v>18</v>
      </c>
      <c r="B23" s="116"/>
    </row>
    <row r="24" spans="1:2">
      <c r="A24" s="5" t="s">
        <v>19</v>
      </c>
      <c r="B24" s="116"/>
    </row>
    <row r="25" spans="1:2">
      <c r="A25" s="5" t="s">
        <v>20</v>
      </c>
      <c r="B25" s="116">
        <v>1</v>
      </c>
    </row>
    <row r="26" spans="1:2">
      <c r="A26" s="112" t="s">
        <v>40</v>
      </c>
      <c r="B26" s="116">
        <v>2</v>
      </c>
    </row>
    <row r="27" spans="1:2">
      <c r="A27" s="5" t="s">
        <v>21</v>
      </c>
      <c r="B27" s="116">
        <v>15</v>
      </c>
    </row>
    <row r="28" spans="1:2">
      <c r="A28" s="5" t="s">
        <v>22</v>
      </c>
      <c r="B28" s="116"/>
    </row>
    <row r="29" spans="1:2">
      <c r="A29" s="5" t="s">
        <v>23</v>
      </c>
      <c r="B29" s="116">
        <v>5</v>
      </c>
    </row>
    <row r="30" spans="1:2">
      <c r="A30" s="237" t="s">
        <v>53</v>
      </c>
      <c r="B30" s="115">
        <f>SUM(B21:B29)</f>
        <v>31</v>
      </c>
    </row>
    <row r="31" spans="1:2">
      <c r="A31" s="6" t="s">
        <v>24</v>
      </c>
      <c r="B31" s="116">
        <v>35</v>
      </c>
    </row>
    <row r="32" spans="1:2">
      <c r="A32" s="5" t="s">
        <v>25</v>
      </c>
      <c r="B32" s="116"/>
    </row>
    <row r="33" spans="1:2">
      <c r="A33" s="237" t="s">
        <v>54</v>
      </c>
      <c r="B33" s="115">
        <f>SUM(B31:B32)</f>
        <v>35</v>
      </c>
    </row>
    <row r="34" spans="1:2">
      <c r="A34" s="6" t="s">
        <v>26</v>
      </c>
      <c r="B34" s="116">
        <v>10</v>
      </c>
    </row>
    <row r="35" spans="1:2">
      <c r="A35" s="5" t="s">
        <v>27</v>
      </c>
      <c r="B35" s="116">
        <v>6</v>
      </c>
    </row>
    <row r="36" spans="1:2">
      <c r="A36" s="5" t="s">
        <v>28</v>
      </c>
      <c r="B36" s="116"/>
    </row>
    <row r="37" spans="1:2">
      <c r="A37" s="237" t="s">
        <v>55</v>
      </c>
      <c r="B37" s="115">
        <f>SUM(B34:B36)</f>
        <v>16</v>
      </c>
    </row>
    <row r="38" spans="1:2">
      <c r="A38" s="4" t="s">
        <v>29</v>
      </c>
      <c r="B38" s="116">
        <v>1</v>
      </c>
    </row>
    <row r="39" spans="1:2">
      <c r="A39" s="5" t="s">
        <v>30</v>
      </c>
      <c r="B39" s="116"/>
    </row>
    <row r="40" spans="1:2">
      <c r="A40" s="5" t="s">
        <v>31</v>
      </c>
      <c r="B40" s="116"/>
    </row>
    <row r="41" spans="1:2">
      <c r="A41" s="5" t="s">
        <v>32</v>
      </c>
      <c r="B41" s="116"/>
    </row>
    <row r="42" spans="1:2">
      <c r="A42" s="5" t="s">
        <v>33</v>
      </c>
      <c r="B42" s="116"/>
    </row>
    <row r="43" spans="1:2">
      <c r="A43" s="5" t="s">
        <v>34</v>
      </c>
      <c r="B43" s="116"/>
    </row>
    <row r="44" spans="1:2">
      <c r="A44" s="5" t="s">
        <v>35</v>
      </c>
      <c r="B44" s="116"/>
    </row>
    <row r="45" spans="1:2">
      <c r="A45" s="5" t="s">
        <v>36</v>
      </c>
      <c r="B45" s="116"/>
    </row>
    <row r="46" spans="1:2">
      <c r="A46" s="5" t="s">
        <v>37</v>
      </c>
      <c r="B46" s="116"/>
    </row>
    <row r="47" spans="1:2">
      <c r="A47" s="5" t="s">
        <v>38</v>
      </c>
      <c r="B47" s="116"/>
    </row>
    <row r="48" spans="1:2">
      <c r="A48" s="237" t="s">
        <v>56</v>
      </c>
      <c r="B48" s="115">
        <f>SUM(B38:B47)</f>
        <v>1</v>
      </c>
    </row>
    <row r="49" spans="1:2">
      <c r="A49" s="238" t="s">
        <v>57</v>
      </c>
      <c r="B49" s="143">
        <f>SUM(B9,B20,B30,B33,B37,B48)</f>
        <v>132</v>
      </c>
    </row>
  </sheetData>
  <phoneticPr fontId="5"/>
  <printOptions horizontalCentered="1"/>
  <pageMargins left="0.78740157480314965" right="0.59055118110236227" top="0.51181102362204722" bottom="0" header="0" footer="0"/>
  <pageSetup paperSize="9" orientation="portrait" r:id="rId1"/>
  <headerFooter scaleWithDoc="0" alignWithMargins="0">
    <oddFooter>&amp;C9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accommodation_type</vt:lpstr>
      <vt:lpstr>scale_class</vt:lpstr>
      <vt:lpstr>hotel_breakdown</vt:lpstr>
      <vt:lpstr>residential_act</vt:lpstr>
      <vt:lpstr>accommodation_type!Print_Area</vt:lpstr>
      <vt:lpstr>hotel_breakdown!Print_Area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2025-06-25T08:56:30Z</dcterms:modified>
</cp:coreProperties>
</file>